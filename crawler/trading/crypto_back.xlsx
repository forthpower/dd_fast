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enturygame/PycharmProjects/dd_fast/crawler/trading/"/>
    </mc:Choice>
  </mc:AlternateContent>
  <xr:revisionPtr revIDLastSave="0" documentId="13_ncr:1_{A47A4095-C3DE-7243-A81B-18417036CED6}" xr6:coauthVersionLast="47" xr6:coauthVersionMax="47" xr10:uidLastSave="{00000000-0000-0000-0000-000000000000}"/>
  <bookViews>
    <workbookView xWindow="4680" yWindow="620" windowWidth="27040" windowHeight="17560" activeTab="1" xr2:uid="{00000000-000D-0000-FFFF-FFFF00000000}"/>
  </bookViews>
  <sheets>
    <sheet name="Portfolios" sheetId="1" r:id="rId1"/>
    <sheet name="Strategy Watchlist" sheetId="2" r:id="rId2"/>
  </sheets>
  <definedNames>
    <definedName name="_xlnm._FilterDatabase" localSheetId="0" hidden="1">Portfolios!$A$3:$DO$252</definedName>
    <definedName name="_xlnm._FilterDatabase" localSheetId="1" hidden="1">'Strategy Watchlist'!$B$2:$AU$998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c6jJeTpVvWqGfDXt1WyPge9/rftvZpI+l8r0DjV52R0="/>
    </ext>
  </extLst>
</workbook>
</file>

<file path=xl/calcChain.xml><?xml version="1.0" encoding="utf-8"?>
<calcChain xmlns="http://schemas.openxmlformats.org/spreadsheetml/2006/main">
  <c r="L78" i="2" l="1"/>
  <c r="L77" i="2"/>
  <c r="L76" i="2"/>
  <c r="L75" i="2"/>
  <c r="L74" i="2"/>
  <c r="A74" i="2"/>
  <c r="N73" i="2"/>
  <c r="L73" i="2"/>
  <c r="A73" i="2"/>
  <c r="L72" i="2"/>
  <c r="L71" i="2"/>
  <c r="L70" i="2"/>
  <c r="L69" i="2"/>
  <c r="L68" i="2"/>
  <c r="L67" i="2"/>
  <c r="L66" i="2"/>
  <c r="L64" i="2"/>
  <c r="A64" i="2"/>
  <c r="L63" i="2"/>
  <c r="A63" i="2"/>
  <c r="L62" i="2"/>
  <c r="A62" i="2"/>
  <c r="L61" i="2"/>
  <c r="A61" i="2"/>
  <c r="L60" i="2"/>
  <c r="A60" i="2"/>
  <c r="L59" i="2"/>
  <c r="A59" i="2"/>
  <c r="L58" i="2"/>
  <c r="A58" i="2"/>
  <c r="L57" i="2"/>
  <c r="A57" i="2"/>
  <c r="L56" i="2"/>
  <c r="A56" i="2"/>
  <c r="N55" i="2"/>
  <c r="L55" i="2"/>
  <c r="A55" i="2"/>
  <c r="L54" i="2"/>
  <c r="A54" i="2"/>
  <c r="L53" i="2"/>
  <c r="A53" i="2"/>
  <c r="L52" i="2"/>
  <c r="A52" i="2"/>
  <c r="L51" i="2"/>
  <c r="A51" i="2"/>
  <c r="L50" i="2"/>
  <c r="A50" i="2"/>
  <c r="L49" i="2"/>
  <c r="A49" i="2"/>
  <c r="L48" i="2"/>
  <c r="A48" i="2"/>
  <c r="L47" i="2"/>
  <c r="A47" i="2"/>
  <c r="L46" i="2"/>
  <c r="A46" i="2"/>
  <c r="A45" i="2"/>
  <c r="L44" i="2"/>
  <c r="A44" i="2"/>
  <c r="N43" i="2"/>
  <c r="L43" i="2"/>
  <c r="A43" i="2"/>
  <c r="L42" i="2"/>
  <c r="A42" i="2"/>
  <c r="A41" i="2"/>
  <c r="A40" i="2"/>
  <c r="L38" i="2"/>
  <c r="A38" i="2"/>
  <c r="L37" i="2"/>
  <c r="A37" i="2"/>
  <c r="L36" i="2"/>
  <c r="A36" i="2"/>
  <c r="L35" i="2"/>
  <c r="A35" i="2"/>
  <c r="L34" i="2"/>
  <c r="A34" i="2"/>
  <c r="L33" i="2"/>
  <c r="A33" i="2"/>
  <c r="L32" i="2"/>
  <c r="A32" i="2"/>
  <c r="L31" i="2"/>
  <c r="A31" i="2"/>
  <c r="L30" i="2"/>
  <c r="I30" i="2"/>
  <c r="C30" i="2"/>
  <c r="A30" i="2"/>
  <c r="L29" i="2"/>
  <c r="I29" i="2"/>
  <c r="A29" i="2"/>
  <c r="L28" i="2"/>
  <c r="I28" i="2"/>
  <c r="A28" i="2"/>
  <c r="L27" i="2"/>
  <c r="I27" i="2"/>
  <c r="A27" i="2"/>
  <c r="L26" i="2"/>
  <c r="I26" i="2"/>
  <c r="A26" i="2"/>
  <c r="L25" i="2"/>
  <c r="I25" i="2"/>
  <c r="A25" i="2"/>
  <c r="L24" i="2"/>
  <c r="A24" i="2"/>
  <c r="L23" i="2"/>
  <c r="I23" i="2"/>
  <c r="A23" i="2"/>
  <c r="L20" i="2"/>
  <c r="I20" i="2"/>
  <c r="A20" i="2"/>
  <c r="L19" i="2"/>
  <c r="I19" i="2"/>
  <c r="A19" i="2"/>
  <c r="L18" i="2"/>
  <c r="I18" i="2"/>
  <c r="A18" i="2"/>
  <c r="L17" i="2"/>
  <c r="A17" i="2"/>
  <c r="L16" i="2"/>
  <c r="A16" i="2"/>
  <c r="L15" i="2"/>
  <c r="I15" i="2"/>
  <c r="A15" i="2"/>
  <c r="L14" i="2"/>
  <c r="A14" i="2"/>
  <c r="L13" i="2"/>
  <c r="I13" i="2"/>
  <c r="A13" i="2"/>
  <c r="L12" i="2"/>
  <c r="I12" i="2"/>
  <c r="A12" i="2"/>
  <c r="L11" i="2"/>
  <c r="I11" i="2"/>
  <c r="A11" i="2"/>
  <c r="L10" i="2"/>
  <c r="A10" i="2"/>
  <c r="L9" i="2"/>
  <c r="A9" i="2"/>
  <c r="L8" i="2"/>
  <c r="A8" i="2"/>
  <c r="L7" i="2"/>
  <c r="I7" i="2"/>
  <c r="A7" i="2"/>
  <c r="L6" i="2"/>
  <c r="I6" i="2"/>
  <c r="A6" i="2"/>
  <c r="N119" i="1" s="1" a="1"/>
  <c r="N119" i="1" s="1"/>
  <c r="L5" i="2"/>
  <c r="A5" i="2"/>
  <c r="L4" i="2"/>
  <c r="I4" i="2"/>
  <c r="A4" i="2"/>
  <c r="L3" i="2"/>
  <c r="I3" i="2"/>
  <c r="A3" i="2"/>
  <c r="V213" i="1" s="1" a="1"/>
  <c r="V213" i="1" s="1"/>
  <c r="BF279" i="1"/>
  <c r="BC279" i="1"/>
  <c r="AW279" i="1"/>
  <c r="AU279" i="1"/>
  <c r="L279" i="1"/>
  <c r="I279" i="1"/>
  <c r="C279" i="1"/>
  <c r="A279" i="1"/>
  <c r="AY278" i="1"/>
  <c r="I278" i="1"/>
  <c r="C278" i="1"/>
  <c r="A278" i="1"/>
  <c r="AY277" i="1"/>
  <c r="I277" i="1"/>
  <c r="C277" i="1"/>
  <c r="A277" i="1"/>
  <c r="AY276" i="1"/>
  <c r="I276" i="1"/>
  <c r="C276" i="1"/>
  <c r="A276" i="1"/>
  <c r="I275" i="1"/>
  <c r="C275" i="1"/>
  <c r="A275" i="1"/>
  <c r="I274" i="1"/>
  <c r="C274" i="1"/>
  <c r="A274" i="1"/>
  <c r="I273" i="1"/>
  <c r="C273" i="1"/>
  <c r="A273" i="1"/>
  <c r="I272" i="1"/>
  <c r="C272" i="1"/>
  <c r="A272" i="1"/>
  <c r="I271" i="1"/>
  <c r="C271" i="1"/>
  <c r="A271" i="1"/>
  <c r="I270" i="1"/>
  <c r="C270" i="1"/>
  <c r="A270" i="1"/>
  <c r="I269" i="1"/>
  <c r="C269" i="1"/>
  <c r="A269" i="1"/>
  <c r="I268" i="1"/>
  <c r="C268" i="1"/>
  <c r="A268" i="1"/>
  <c r="I267" i="1"/>
  <c r="C267" i="1"/>
  <c r="A267" i="1"/>
  <c r="I266" i="1"/>
  <c r="C266" i="1"/>
  <c r="A266" i="1"/>
  <c r="I265" i="1"/>
  <c r="C265" i="1"/>
  <c r="A265" i="1"/>
  <c r="I264" i="1"/>
  <c r="C264" i="1"/>
  <c r="A264" i="1"/>
  <c r="I263" i="1"/>
  <c r="C263" i="1"/>
  <c r="A263" i="1"/>
  <c r="I262" i="1"/>
  <c r="C262" i="1"/>
  <c r="A262" i="1"/>
  <c r="I261" i="1"/>
  <c r="C261" i="1"/>
  <c r="A261" i="1"/>
  <c r="I260" i="1"/>
  <c r="C260" i="1"/>
  <c r="A260" i="1"/>
  <c r="I259" i="1"/>
  <c r="C259" i="1"/>
  <c r="A259" i="1"/>
  <c r="I258" i="1"/>
  <c r="C258" i="1"/>
  <c r="A258" i="1"/>
  <c r="I257" i="1"/>
  <c r="C257" i="1"/>
  <c r="A257" i="1"/>
  <c r="I256" i="1"/>
  <c r="C256" i="1"/>
  <c r="A256" i="1"/>
  <c r="I255" i="1"/>
  <c r="C255" i="1"/>
  <c r="A255" i="1"/>
  <c r="I254" i="1"/>
  <c r="C254" i="1"/>
  <c r="A254" i="1"/>
  <c r="I253" i="1"/>
  <c r="C253" i="1"/>
  <c r="A253" i="1"/>
  <c r="A252" i="1"/>
  <c r="J248" i="1"/>
  <c r="A248" i="1"/>
  <c r="I247" i="1"/>
  <c r="C247" i="1"/>
  <c r="A247" i="1"/>
  <c r="I246" i="1"/>
  <c r="J246" i="1" s="1"/>
  <c r="C246" i="1"/>
  <c r="A246" i="1"/>
  <c r="BF245" i="1"/>
  <c r="AU245" i="1"/>
  <c r="L245" i="1"/>
  <c r="I245" i="1"/>
  <c r="J245" i="1" s="1"/>
  <c r="C245" i="1"/>
  <c r="A245" i="1"/>
  <c r="J244" i="1"/>
  <c r="I244" i="1"/>
  <c r="C244" i="1"/>
  <c r="A244" i="1"/>
  <c r="I243" i="1"/>
  <c r="J243" i="1" s="1"/>
  <c r="C243" i="1"/>
  <c r="A243" i="1"/>
  <c r="I242" i="1"/>
  <c r="J242" i="1" s="1"/>
  <c r="C242" i="1"/>
  <c r="A242" i="1"/>
  <c r="BF241" i="1"/>
  <c r="AU241" i="1"/>
  <c r="L241" i="1"/>
  <c r="I241" i="1"/>
  <c r="J241" i="1" s="1"/>
  <c r="C241" i="1"/>
  <c r="A241" i="1"/>
  <c r="J240" i="1"/>
  <c r="I240" i="1"/>
  <c r="C240" i="1"/>
  <c r="A240" i="1"/>
  <c r="BF239" i="1"/>
  <c r="BC239" i="1"/>
  <c r="AU239" i="1"/>
  <c r="L239" i="1"/>
  <c r="I239" i="1"/>
  <c r="J239" i="1" s="1"/>
  <c r="C239" i="1"/>
  <c r="A239" i="1"/>
  <c r="A238" i="1"/>
  <c r="BF236" i="1"/>
  <c r="L236" i="1"/>
  <c r="I236" i="1"/>
  <c r="J236" i="1" s="1"/>
  <c r="C236" i="1"/>
  <c r="A236" i="1"/>
  <c r="BF235" i="1"/>
  <c r="AU235" i="1"/>
  <c r="L235" i="1"/>
  <c r="I235" i="1"/>
  <c r="J235" i="1" s="1"/>
  <c r="C235" i="1"/>
  <c r="A235" i="1"/>
  <c r="BF234" i="1"/>
  <c r="AU234" i="1"/>
  <c r="L234" i="1"/>
  <c r="I234" i="1"/>
  <c r="J234" i="1" s="1"/>
  <c r="C234" i="1"/>
  <c r="A234" i="1"/>
  <c r="A233" i="1"/>
  <c r="BF231" i="1"/>
  <c r="J231" i="1"/>
  <c r="I231" i="1"/>
  <c r="C231" i="1"/>
  <c r="A231" i="1"/>
  <c r="BF230" i="1"/>
  <c r="AU230" i="1"/>
  <c r="J230" i="1"/>
  <c r="I230" i="1"/>
  <c r="C230" i="1"/>
  <c r="A230" i="1"/>
  <c r="BF229" i="1"/>
  <c r="AU229" i="1"/>
  <c r="K229" i="1"/>
  <c r="J229" i="1"/>
  <c r="I229" i="1"/>
  <c r="C229" i="1"/>
  <c r="A229" i="1"/>
  <c r="A228" i="1"/>
  <c r="BF227" i="1"/>
  <c r="AU227" i="1"/>
  <c r="L227" i="1"/>
  <c r="I227" i="1"/>
  <c r="J227" i="1" s="1"/>
  <c r="C227" i="1"/>
  <c r="A227" i="1"/>
  <c r="BF226" i="1"/>
  <c r="AU226" i="1"/>
  <c r="L226" i="1"/>
  <c r="I226" i="1"/>
  <c r="J226" i="1" s="1"/>
  <c r="C226" i="1"/>
  <c r="A226" i="1"/>
  <c r="BF225" i="1"/>
  <c r="AU225" i="1"/>
  <c r="L225" i="1"/>
  <c r="I225" i="1"/>
  <c r="J225" i="1" s="1"/>
  <c r="C225" i="1"/>
  <c r="A225" i="1"/>
  <c r="J224" i="1"/>
  <c r="I224" i="1"/>
  <c r="C224" i="1"/>
  <c r="A224" i="1"/>
  <c r="J223" i="1"/>
  <c r="I223" i="1"/>
  <c r="C223" i="1"/>
  <c r="A223" i="1"/>
  <c r="J222" i="1"/>
  <c r="I222" i="1"/>
  <c r="C222" i="1"/>
  <c r="A222" i="1"/>
  <c r="I221" i="1"/>
  <c r="J221" i="1" s="1"/>
  <c r="C221" i="1"/>
  <c r="A221" i="1"/>
  <c r="K220" i="1"/>
  <c r="I220" i="1"/>
  <c r="C220" i="1"/>
  <c r="A220" i="1"/>
  <c r="K219" i="1"/>
  <c r="I219" i="1"/>
  <c r="C219" i="1"/>
  <c r="A219" i="1"/>
  <c r="J218" i="1"/>
  <c r="I218" i="1"/>
  <c r="C218" i="1"/>
  <c r="A218" i="1"/>
  <c r="I217" i="1"/>
  <c r="C217" i="1"/>
  <c r="A217" i="1"/>
  <c r="K216" i="1"/>
  <c r="I216" i="1"/>
  <c r="C216" i="1"/>
  <c r="A216" i="1"/>
  <c r="I215" i="1"/>
  <c r="C215" i="1"/>
  <c r="A215" i="1"/>
  <c r="J214" i="1"/>
  <c r="I214" i="1"/>
  <c r="C214" i="1"/>
  <c r="A214" i="1"/>
  <c r="J213" i="1"/>
  <c r="I213" i="1"/>
  <c r="C213" i="1"/>
  <c r="A213" i="1"/>
  <c r="A212" i="1"/>
  <c r="J209" i="1"/>
  <c r="A209" i="1"/>
  <c r="J207" i="1"/>
  <c r="J217" i="1" s="1"/>
  <c r="I207" i="1"/>
  <c r="C207" i="1"/>
  <c r="A207" i="1"/>
  <c r="BF206" i="1"/>
  <c r="AU206" i="1"/>
  <c r="L206" i="1"/>
  <c r="I206" i="1"/>
  <c r="J206" i="1" s="1"/>
  <c r="C206" i="1"/>
  <c r="A206" i="1"/>
  <c r="BF205" i="1"/>
  <c r="AU205" i="1"/>
  <c r="L205" i="1"/>
  <c r="I205" i="1"/>
  <c r="C205" i="1"/>
  <c r="A205" i="1"/>
  <c r="A204" i="1"/>
  <c r="BF203" i="1"/>
  <c r="AU203" i="1"/>
  <c r="L203" i="1"/>
  <c r="I203" i="1"/>
  <c r="J203" i="1" s="1"/>
  <c r="A203" i="1"/>
  <c r="I202" i="1"/>
  <c r="J202" i="1" s="1"/>
  <c r="A202" i="1"/>
  <c r="AY201" i="1"/>
  <c r="I201" i="1"/>
  <c r="A201" i="1"/>
  <c r="I200" i="1"/>
  <c r="C200" i="1"/>
  <c r="A200" i="1"/>
  <c r="I199" i="1"/>
  <c r="C199" i="1"/>
  <c r="A199" i="1"/>
  <c r="I198" i="1"/>
  <c r="C198" i="1"/>
  <c r="A198" i="1"/>
  <c r="I197" i="1"/>
  <c r="C197" i="1"/>
  <c r="A197" i="1"/>
  <c r="I196" i="1"/>
  <c r="C196" i="1"/>
  <c r="A196" i="1"/>
  <c r="A195" i="1"/>
  <c r="BF194" i="1"/>
  <c r="AU194" i="1"/>
  <c r="L194" i="1"/>
  <c r="J194" i="1"/>
  <c r="I194" i="1"/>
  <c r="C194" i="1"/>
  <c r="A194" i="1"/>
  <c r="BF193" i="1"/>
  <c r="AU193" i="1"/>
  <c r="L193" i="1"/>
  <c r="J193" i="1"/>
  <c r="I193" i="1"/>
  <c r="C193" i="1"/>
  <c r="A193" i="1"/>
  <c r="J192" i="1"/>
  <c r="I192" i="1"/>
  <c r="C192" i="1"/>
  <c r="A192" i="1"/>
  <c r="C191" i="1"/>
  <c r="A191" i="1"/>
  <c r="I190" i="1"/>
  <c r="C190" i="1"/>
  <c r="A190" i="1"/>
  <c r="I189" i="1"/>
  <c r="A189" i="1"/>
  <c r="I188" i="1"/>
  <c r="C188" i="1"/>
  <c r="A188" i="1"/>
  <c r="I187" i="1"/>
  <c r="H187" i="1"/>
  <c r="A187" i="1"/>
  <c r="BF186" i="1"/>
  <c r="AU186" i="1"/>
  <c r="L186" i="1"/>
  <c r="I186" i="1"/>
  <c r="J186" i="1" s="1"/>
  <c r="A186" i="1"/>
  <c r="I185" i="1"/>
  <c r="J185" i="1" s="1"/>
  <c r="J216" i="1" s="1"/>
  <c r="H185" i="1"/>
  <c r="A185" i="1"/>
  <c r="H184" i="1"/>
  <c r="I184" i="1" s="1"/>
  <c r="A184" i="1"/>
  <c r="I183" i="1"/>
  <c r="C183" i="1"/>
  <c r="A183" i="1"/>
  <c r="I182" i="1"/>
  <c r="A182" i="1"/>
  <c r="A181" i="1"/>
  <c r="J179" i="1"/>
  <c r="A179" i="1"/>
  <c r="BF174" i="1"/>
  <c r="AU174" i="1"/>
  <c r="L174" i="1"/>
  <c r="J174" i="1"/>
  <c r="I174" i="1"/>
  <c r="C174" i="1"/>
  <c r="A174" i="1"/>
  <c r="BF173" i="1"/>
  <c r="AU173" i="1"/>
  <c r="L173" i="1"/>
  <c r="I173" i="1"/>
  <c r="J173" i="1" s="1"/>
  <c r="C173" i="1"/>
  <c r="A173" i="1"/>
  <c r="E172" i="1"/>
  <c r="A172" i="1" s="1"/>
  <c r="BF171" i="1"/>
  <c r="AU171" i="1"/>
  <c r="L171" i="1"/>
  <c r="J171" i="1"/>
  <c r="I171" i="1"/>
  <c r="A171" i="1"/>
  <c r="I170" i="1"/>
  <c r="J170" i="1" s="1"/>
  <c r="C170" i="1"/>
  <c r="A170" i="1"/>
  <c r="AY169" i="1"/>
  <c r="I169" i="1"/>
  <c r="A169" i="1"/>
  <c r="I168" i="1"/>
  <c r="A168" i="1"/>
  <c r="I167" i="1"/>
  <c r="C167" i="1"/>
  <c r="A167" i="1"/>
  <c r="I166" i="1"/>
  <c r="A166" i="1"/>
  <c r="I165" i="1"/>
  <c r="A165" i="1"/>
  <c r="J164" i="1"/>
  <c r="I164" i="1"/>
  <c r="A164" i="1"/>
  <c r="E163" i="1"/>
  <c r="C164" i="1" s="1"/>
  <c r="A163" i="1"/>
  <c r="BF162" i="1"/>
  <c r="AU162" i="1"/>
  <c r="L162" i="1"/>
  <c r="J162" i="1"/>
  <c r="I162" i="1"/>
  <c r="A162" i="1"/>
  <c r="BF161" i="1"/>
  <c r="AU161" i="1"/>
  <c r="L161" i="1"/>
  <c r="I161" i="1"/>
  <c r="J161" i="1" s="1"/>
  <c r="C161" i="1"/>
  <c r="A161" i="1"/>
  <c r="J160" i="1"/>
  <c r="I160" i="1"/>
  <c r="A160" i="1"/>
  <c r="I159" i="1"/>
  <c r="C159" i="1"/>
  <c r="A159" i="1"/>
  <c r="I158" i="1"/>
  <c r="C158" i="1"/>
  <c r="A158" i="1"/>
  <c r="I157" i="1"/>
  <c r="C157" i="1"/>
  <c r="A157" i="1"/>
  <c r="I156" i="1"/>
  <c r="C156" i="1"/>
  <c r="A156" i="1"/>
  <c r="I155" i="1"/>
  <c r="A155" i="1"/>
  <c r="I154" i="1"/>
  <c r="A154" i="1"/>
  <c r="R153" i="1" a="1"/>
  <c r="R153" i="1" s="1"/>
  <c r="L153" i="1" a="1"/>
  <c r="L153" i="1" s="1"/>
  <c r="I153" i="1"/>
  <c r="C153" i="1"/>
  <c r="A153" i="1"/>
  <c r="I152" i="1"/>
  <c r="A152" i="1"/>
  <c r="I151" i="1"/>
  <c r="A151" i="1"/>
  <c r="I150" i="1"/>
  <c r="J150" i="1" s="1"/>
  <c r="A150" i="1"/>
  <c r="E149" i="1"/>
  <c r="A149" i="1"/>
  <c r="J144" i="1"/>
  <c r="A144" i="1"/>
  <c r="BF142" i="1"/>
  <c r="AU142" i="1"/>
  <c r="L142" i="1"/>
  <c r="I142" i="1"/>
  <c r="J142" i="1" s="1"/>
  <c r="C142" i="1"/>
  <c r="A142" i="1"/>
  <c r="BF141" i="1"/>
  <c r="AU141" i="1"/>
  <c r="W141" i="1" a="1"/>
  <c r="W141" i="1" s="1"/>
  <c r="L141" i="1"/>
  <c r="I141" i="1"/>
  <c r="J141" i="1" s="1"/>
  <c r="C141" i="1"/>
  <c r="A141" i="1"/>
  <c r="A140" i="1"/>
  <c r="BF139" i="1"/>
  <c r="AU139" i="1"/>
  <c r="L139" i="1"/>
  <c r="J139" i="1"/>
  <c r="I139" i="1"/>
  <c r="C139" i="1"/>
  <c r="A139" i="1"/>
  <c r="J138" i="1"/>
  <c r="I138" i="1"/>
  <c r="C138" i="1"/>
  <c r="A138" i="1"/>
  <c r="AY137" i="1"/>
  <c r="I137" i="1"/>
  <c r="C137" i="1"/>
  <c r="A137" i="1"/>
  <c r="I136" i="1"/>
  <c r="C136" i="1"/>
  <c r="A136" i="1"/>
  <c r="I135" i="1"/>
  <c r="C135" i="1"/>
  <c r="A135" i="1"/>
  <c r="I134" i="1"/>
  <c r="C134" i="1"/>
  <c r="A134" i="1"/>
  <c r="I133" i="1"/>
  <c r="C133" i="1"/>
  <c r="A133" i="1"/>
  <c r="I132" i="1"/>
  <c r="C132" i="1"/>
  <c r="A132" i="1"/>
  <c r="A131" i="1"/>
  <c r="BF130" i="1"/>
  <c r="AU130" i="1"/>
  <c r="L130" i="1"/>
  <c r="J130" i="1"/>
  <c r="I130" i="1"/>
  <c r="C130" i="1"/>
  <c r="A130" i="1"/>
  <c r="BF129" i="1"/>
  <c r="AU129" i="1"/>
  <c r="L129" i="1"/>
  <c r="J129" i="1"/>
  <c r="I129" i="1"/>
  <c r="C129" i="1"/>
  <c r="A129" i="1"/>
  <c r="I128" i="1"/>
  <c r="J128" i="1" s="1"/>
  <c r="C128" i="1"/>
  <c r="A128" i="1"/>
  <c r="I127" i="1"/>
  <c r="C127" i="1"/>
  <c r="A127" i="1"/>
  <c r="I126" i="1"/>
  <c r="C126" i="1"/>
  <c r="A126" i="1"/>
  <c r="I125" i="1"/>
  <c r="C125" i="1"/>
  <c r="A125" i="1"/>
  <c r="I124" i="1"/>
  <c r="C124" i="1"/>
  <c r="A124" i="1"/>
  <c r="I123" i="1"/>
  <c r="C123" i="1"/>
  <c r="A123" i="1"/>
  <c r="I122" i="1"/>
  <c r="C122" i="1"/>
  <c r="A122" i="1"/>
  <c r="I121" i="1"/>
  <c r="C121" i="1"/>
  <c r="A121" i="1"/>
  <c r="I120" i="1"/>
  <c r="C120" i="1"/>
  <c r="A120" i="1"/>
  <c r="I119" i="1"/>
  <c r="C119" i="1"/>
  <c r="A119" i="1"/>
  <c r="I118" i="1"/>
  <c r="J118" i="1" s="1"/>
  <c r="C118" i="1"/>
  <c r="A118" i="1"/>
  <c r="A117" i="1"/>
  <c r="A116" i="1"/>
  <c r="J113" i="1"/>
  <c r="A113" i="1"/>
  <c r="BF110" i="1"/>
  <c r="AU110" i="1"/>
  <c r="L110" i="1"/>
  <c r="I110" i="1"/>
  <c r="J110" i="1" s="1"/>
  <c r="C110" i="1"/>
  <c r="A110" i="1"/>
  <c r="I109" i="1"/>
  <c r="C109" i="1"/>
  <c r="A109" i="1"/>
  <c r="A108" i="1"/>
  <c r="BF107" i="1"/>
  <c r="AU107" i="1"/>
  <c r="L107" i="1"/>
  <c r="I107" i="1"/>
  <c r="J107" i="1" s="1"/>
  <c r="C107" i="1"/>
  <c r="A107" i="1"/>
  <c r="BF106" i="1"/>
  <c r="AU106" i="1"/>
  <c r="L106" i="1"/>
  <c r="I106" i="1"/>
  <c r="J106" i="1" s="1"/>
  <c r="C106" i="1"/>
  <c r="A106" i="1"/>
  <c r="I105" i="1"/>
  <c r="C105" i="1"/>
  <c r="A105" i="1"/>
  <c r="A104" i="1"/>
  <c r="BF103" i="1"/>
  <c r="AU103" i="1"/>
  <c r="L103" i="1"/>
  <c r="I103" i="1"/>
  <c r="J103" i="1" s="1"/>
  <c r="C103" i="1"/>
  <c r="A103" i="1"/>
  <c r="J102" i="1"/>
  <c r="I102" i="1"/>
  <c r="C102" i="1"/>
  <c r="A102" i="1"/>
  <c r="AY101" i="1"/>
  <c r="I101" i="1"/>
  <c r="C101" i="1"/>
  <c r="A101" i="1"/>
  <c r="I100" i="1"/>
  <c r="C100" i="1"/>
  <c r="A100" i="1"/>
  <c r="BF99" i="1"/>
  <c r="L99" i="1"/>
  <c r="J99" i="1"/>
  <c r="I99" i="1"/>
  <c r="C99" i="1"/>
  <c r="A99" i="1"/>
  <c r="W98" i="1" a="1"/>
  <c r="W98" i="1" s="1"/>
  <c r="I98" i="1"/>
  <c r="C98" i="1"/>
  <c r="A98" i="1"/>
  <c r="I97" i="1"/>
  <c r="C97" i="1"/>
  <c r="A97" i="1"/>
  <c r="Z96" i="1"/>
  <c r="O96" i="1" a="1"/>
  <c r="O96" i="1" s="1"/>
  <c r="I96" i="1"/>
  <c r="D96" i="1"/>
  <c r="C96" i="1"/>
  <c r="A96" i="1"/>
  <c r="A95" i="1"/>
  <c r="BF94" i="1"/>
  <c r="AU94" i="1"/>
  <c r="L94" i="1"/>
  <c r="J94" i="1"/>
  <c r="I94" i="1"/>
  <c r="C94" i="1"/>
  <c r="A94" i="1"/>
  <c r="BF93" i="1"/>
  <c r="AU93" i="1"/>
  <c r="L93" i="1"/>
  <c r="I93" i="1"/>
  <c r="J93" i="1" s="1"/>
  <c r="C93" i="1"/>
  <c r="A93" i="1"/>
  <c r="J92" i="1"/>
  <c r="I92" i="1"/>
  <c r="C92" i="1"/>
  <c r="A92" i="1"/>
  <c r="I91" i="1"/>
  <c r="C91" i="1"/>
  <c r="A91" i="1"/>
  <c r="C90" i="1"/>
  <c r="A90" i="1"/>
  <c r="T89" i="1" a="1"/>
  <c r="T89" i="1" s="1"/>
  <c r="J89" i="1"/>
  <c r="I89" i="1"/>
  <c r="C89" i="1"/>
  <c r="A89" i="1"/>
  <c r="I88" i="1"/>
  <c r="C88" i="1"/>
  <c r="A88" i="1"/>
  <c r="Q87" i="1" a="1"/>
  <c r="Q87" i="1" s="1"/>
  <c r="I87" i="1"/>
  <c r="C87" i="1"/>
  <c r="A87" i="1"/>
  <c r="I86" i="1"/>
  <c r="C86" i="1"/>
  <c r="A86" i="1"/>
  <c r="I85" i="1"/>
  <c r="C85" i="1"/>
  <c r="A85" i="1"/>
  <c r="I84" i="1"/>
  <c r="C84" i="1"/>
  <c r="A84" i="1"/>
  <c r="I83" i="1"/>
  <c r="C83" i="1"/>
  <c r="A83" i="1"/>
  <c r="J82" i="1"/>
  <c r="I82" i="1"/>
  <c r="C82" i="1"/>
  <c r="A82" i="1"/>
  <c r="A81" i="1"/>
  <c r="A80" i="1"/>
  <c r="J71" i="1"/>
  <c r="A71" i="1"/>
  <c r="BF69" i="1"/>
  <c r="AU69" i="1"/>
  <c r="L69" i="1"/>
  <c r="I69" i="1"/>
  <c r="C69" i="1"/>
  <c r="A69" i="1"/>
  <c r="BF68" i="1"/>
  <c r="AU68" i="1"/>
  <c r="J68" i="1"/>
  <c r="I68" i="1"/>
  <c r="C68" i="1"/>
  <c r="A68" i="1"/>
  <c r="BF67" i="1"/>
  <c r="AU67" i="1"/>
  <c r="J67" i="1"/>
  <c r="I67" i="1"/>
  <c r="C67" i="1"/>
  <c r="A67" i="1"/>
  <c r="A66" i="1"/>
  <c r="AY65" i="1"/>
  <c r="I65" i="1"/>
  <c r="C65" i="1"/>
  <c r="A65" i="1"/>
  <c r="BF64" i="1"/>
  <c r="AU64" i="1"/>
  <c r="L64" i="1"/>
  <c r="I64" i="1"/>
  <c r="J64" i="1" s="1"/>
  <c r="C64" i="1"/>
  <c r="A64" i="1"/>
  <c r="I63" i="1"/>
  <c r="J63" i="1" s="1"/>
  <c r="C63" i="1"/>
  <c r="A63" i="1"/>
  <c r="I62" i="1"/>
  <c r="C62" i="1"/>
  <c r="A62" i="1"/>
  <c r="Q62" i="1" s="1" a="1"/>
  <c r="Q62" i="1" s="1"/>
  <c r="I61" i="1"/>
  <c r="J61" i="1" s="1"/>
  <c r="C61" i="1"/>
  <c r="A61" i="1"/>
  <c r="I60" i="1"/>
  <c r="C60" i="1"/>
  <c r="A60" i="1"/>
  <c r="I59" i="1"/>
  <c r="C59" i="1"/>
  <c r="A59" i="1"/>
  <c r="I58" i="1"/>
  <c r="C58" i="1"/>
  <c r="A58" i="1"/>
  <c r="A57" i="1"/>
  <c r="BF56" i="1"/>
  <c r="AU56" i="1"/>
  <c r="L56" i="1"/>
  <c r="J56" i="1"/>
  <c r="I56" i="1"/>
  <c r="C56" i="1"/>
  <c r="A56" i="1"/>
  <c r="BF55" i="1"/>
  <c r="AU55" i="1"/>
  <c r="L55" i="1"/>
  <c r="I55" i="1"/>
  <c r="J55" i="1" s="1"/>
  <c r="C55" i="1"/>
  <c r="A55" i="1"/>
  <c r="I54" i="1"/>
  <c r="C54" i="1"/>
  <c r="A54" i="1"/>
  <c r="J53" i="1"/>
  <c r="I53" i="1"/>
  <c r="C53" i="1"/>
  <c r="A53" i="1"/>
  <c r="I52" i="1"/>
  <c r="C52" i="1"/>
  <c r="A52" i="1"/>
  <c r="Q51" i="1" a="1"/>
  <c r="Q51" i="1" s="1"/>
  <c r="I51" i="1"/>
  <c r="C51" i="1"/>
  <c r="A51" i="1"/>
  <c r="J50" i="1"/>
  <c r="I50" i="1"/>
  <c r="C50" i="1"/>
  <c r="A50" i="1"/>
  <c r="I49" i="1"/>
  <c r="C49" i="1"/>
  <c r="A49" i="1"/>
  <c r="I48" i="1"/>
  <c r="C48" i="1"/>
  <c r="A48" i="1"/>
  <c r="I47" i="1"/>
  <c r="C47" i="1"/>
  <c r="A47" i="1"/>
  <c r="I46" i="1"/>
  <c r="C46" i="1"/>
  <c r="A46" i="1"/>
  <c r="I45" i="1"/>
  <c r="C45" i="1"/>
  <c r="A45" i="1"/>
  <c r="P45" i="1" s="1" a="1"/>
  <c r="P45" i="1" s="1"/>
  <c r="P44" i="1" a="1"/>
  <c r="P44" i="1"/>
  <c r="O44" i="1" a="1"/>
  <c r="O44" i="1" s="1"/>
  <c r="I44" i="1"/>
  <c r="C44" i="1"/>
  <c r="A44" i="1"/>
  <c r="A43" i="1"/>
  <c r="J36" i="1"/>
  <c r="A36" i="1"/>
  <c r="BF34" i="1"/>
  <c r="AU34" i="1"/>
  <c r="L34" i="1"/>
  <c r="I34" i="1"/>
  <c r="J34" i="1" s="1"/>
  <c r="C34" i="1"/>
  <c r="A34" i="1"/>
  <c r="BF33" i="1"/>
  <c r="AU33" i="1"/>
  <c r="L33" i="1"/>
  <c r="J33" i="1"/>
  <c r="I33" i="1"/>
  <c r="C33" i="1"/>
  <c r="A33" i="1"/>
  <c r="I32" i="1"/>
  <c r="J32" i="1" s="1"/>
  <c r="C32" i="1"/>
  <c r="A32" i="1"/>
  <c r="BF31" i="1"/>
  <c r="AU31" i="1"/>
  <c r="L31" i="1"/>
  <c r="I31" i="1"/>
  <c r="J31" i="1" s="1"/>
  <c r="C31" i="1"/>
  <c r="A31" i="1"/>
  <c r="AY30" i="1"/>
  <c r="I30" i="1"/>
  <c r="C30" i="1"/>
  <c r="A30" i="1"/>
  <c r="X30" i="1" s="1" a="1"/>
  <c r="X30" i="1" s="1"/>
  <c r="I29" i="1"/>
  <c r="C29" i="1"/>
  <c r="A29" i="1"/>
  <c r="I28" i="1"/>
  <c r="C28" i="1"/>
  <c r="A28" i="1"/>
  <c r="I27" i="1"/>
  <c r="C27" i="1"/>
  <c r="A27" i="1"/>
  <c r="I26" i="1"/>
  <c r="C26" i="1"/>
  <c r="A26" i="1"/>
  <c r="I25" i="1"/>
  <c r="C25" i="1"/>
  <c r="A25" i="1"/>
  <c r="A24" i="1"/>
  <c r="I22" i="1"/>
  <c r="C22" i="1"/>
  <c r="A22" i="1"/>
  <c r="BF21" i="1"/>
  <c r="AU21" i="1"/>
  <c r="L21" i="1"/>
  <c r="I21" i="1"/>
  <c r="C21" i="1"/>
  <c r="A21" i="1"/>
  <c r="BF20" i="1"/>
  <c r="AU20" i="1"/>
  <c r="I20" i="1"/>
  <c r="J20" i="1" s="1"/>
  <c r="C20" i="1"/>
  <c r="A20" i="1"/>
  <c r="BF19" i="1"/>
  <c r="AU19" i="1"/>
  <c r="J19" i="1"/>
  <c r="I19" i="1"/>
  <c r="C19" i="1"/>
  <c r="A19" i="1"/>
  <c r="A18" i="1"/>
  <c r="BF15" i="1"/>
  <c r="AU15" i="1"/>
  <c r="L15" i="1"/>
  <c r="J15" i="1"/>
  <c r="I15" i="1"/>
  <c r="C15" i="1"/>
  <c r="A15" i="1"/>
  <c r="O14" i="1" a="1"/>
  <c r="O14" i="1" s="1"/>
  <c r="J14" i="1"/>
  <c r="C14" i="1"/>
  <c r="A14" i="1"/>
  <c r="I13" i="1"/>
  <c r="C13" i="1"/>
  <c r="A13" i="1"/>
  <c r="I12" i="1"/>
  <c r="J12" i="1" s="1"/>
  <c r="C12" i="1"/>
  <c r="A12" i="1"/>
  <c r="I11" i="1"/>
  <c r="J11" i="1" s="1"/>
  <c r="C11" i="1"/>
  <c r="A11" i="1"/>
  <c r="J10" i="1"/>
  <c r="I10" i="1"/>
  <c r="C10" i="1"/>
  <c r="A10" i="1"/>
  <c r="J9" i="1"/>
  <c r="I9" i="1"/>
  <c r="C9" i="1"/>
  <c r="A9" i="1"/>
  <c r="I8" i="1"/>
  <c r="C8" i="1"/>
  <c r="A8" i="1"/>
  <c r="I7" i="1"/>
  <c r="C7" i="1"/>
  <c r="A7" i="1"/>
  <c r="X6" i="1" a="1"/>
  <c r="X6" i="1"/>
  <c r="W6" i="1" a="1"/>
  <c r="W6" i="1" s="1"/>
  <c r="I6" i="1"/>
  <c r="C6" i="1"/>
  <c r="A6" i="1"/>
  <c r="S5" i="1" a="1"/>
  <c r="S5" i="1" s="1"/>
  <c r="R5" i="1" a="1"/>
  <c r="R5" i="1"/>
  <c r="I5" i="1"/>
  <c r="C5" i="1"/>
  <c r="A5" i="1"/>
  <c r="O27" i="1" l="1" a="1"/>
  <c r="O27" i="1" s="1"/>
  <c r="O47" i="1" a="1"/>
  <c r="O47" i="1" s="1"/>
  <c r="P14" i="1" a="1"/>
  <c r="P14" i="1" s="1"/>
  <c r="P31" i="1" a="1"/>
  <c r="P31" i="1" s="1"/>
  <c r="R83" i="1" a="1"/>
  <c r="R83" i="1" s="1"/>
  <c r="L166" i="1" a="1"/>
  <c r="L166" i="1" s="1"/>
  <c r="V7" i="1" a="1"/>
  <c r="V7" i="1" s="1"/>
  <c r="L46" i="1" a="1"/>
  <c r="L46" i="1" s="1"/>
  <c r="M50" i="1" a="1"/>
  <c r="M50" i="1" s="1"/>
  <c r="L82" i="1" a="1"/>
  <c r="L82" i="1" s="1"/>
  <c r="N11" i="1" a="1"/>
  <c r="N11" i="1" s="1"/>
  <c r="P26" i="1" a="1"/>
  <c r="P26" i="1" s="1"/>
  <c r="T62" i="1" a="1"/>
  <c r="T62" i="1" s="1"/>
  <c r="U83" i="1" a="1"/>
  <c r="U83" i="1" s="1"/>
  <c r="V151" i="1" a="1"/>
  <c r="V151" i="1" s="1"/>
  <c r="V12" i="1" a="1"/>
  <c r="V12" i="1" s="1"/>
  <c r="P25" i="1" a="1"/>
  <c r="P25" i="1" s="1"/>
  <c r="S30" i="1" a="1"/>
  <c r="S30" i="1" s="1"/>
  <c r="M53" i="1" a="1"/>
  <c r="M53" i="1" s="1"/>
  <c r="V84" i="1" a="1"/>
  <c r="V84" i="1" s="1"/>
  <c r="Y97" i="1" a="1"/>
  <c r="Y97" i="1" s="1"/>
  <c r="U97" i="1" a="1"/>
  <c r="U97" i="1" s="1"/>
  <c r="O97" i="1" a="1"/>
  <c r="O97" i="1" s="1"/>
  <c r="S97" i="1" a="1"/>
  <c r="S97" i="1" s="1"/>
  <c r="M97" i="1" a="1"/>
  <c r="M97" i="1" s="1"/>
  <c r="N97" i="1" a="1"/>
  <c r="N97" i="1" s="1"/>
  <c r="W97" i="1" a="1"/>
  <c r="W97" i="1" s="1"/>
  <c r="T97" i="1" a="1"/>
  <c r="T97" i="1" s="1"/>
  <c r="V97" i="1" a="1"/>
  <c r="V97" i="1" s="1"/>
  <c r="R97" i="1" a="1"/>
  <c r="R97" i="1" s="1"/>
  <c r="Q97" i="1" a="1"/>
  <c r="Q97" i="1" s="1"/>
  <c r="X97" i="1" a="1"/>
  <c r="X97" i="1" s="1"/>
  <c r="P97" i="1" a="1"/>
  <c r="P97" i="1" s="1"/>
  <c r="L97" i="1" a="1"/>
  <c r="L97" i="1" s="1"/>
  <c r="P8" i="1" a="1"/>
  <c r="P8" i="1" s="1"/>
  <c r="V49" i="1" a="1"/>
  <c r="V49" i="1" s="1"/>
  <c r="T59" i="1" a="1"/>
  <c r="T59" i="1" s="1"/>
  <c r="L88" i="1" a="1"/>
  <c r="L88" i="1" s="1"/>
  <c r="U29" i="1" a="1"/>
  <c r="U29" i="1" s="1"/>
  <c r="N53" i="1" a="1"/>
  <c r="N53" i="1" s="1"/>
  <c r="V110" i="1" a="1"/>
  <c r="V110" i="1" s="1"/>
  <c r="P110" i="1" a="1"/>
  <c r="P110" i="1" s="1"/>
  <c r="S110" i="1" a="1"/>
  <c r="S110" i="1" s="1"/>
  <c r="R110" i="1" a="1"/>
  <c r="R110" i="1" s="1"/>
  <c r="X110" i="1" a="1"/>
  <c r="X110" i="1" s="1"/>
  <c r="Q110" i="1" a="1"/>
  <c r="Q110" i="1" s="1"/>
  <c r="O110" i="1" a="1"/>
  <c r="O110" i="1" s="1"/>
  <c r="T110" i="1" a="1"/>
  <c r="T110" i="1" s="1"/>
  <c r="W110" i="1" a="1"/>
  <c r="W110" i="1" s="1"/>
  <c r="U110" i="1" a="1"/>
  <c r="U110" i="1" s="1"/>
  <c r="V134" i="1" a="1"/>
  <c r="V134" i="1" s="1"/>
  <c r="P183" i="1" a="1"/>
  <c r="P183" i="1" s="1"/>
  <c r="Q8" i="1" a="1"/>
  <c r="Q8" i="1" s="1"/>
  <c r="Q9" i="1" a="1"/>
  <c r="Q9" i="1" s="1"/>
  <c r="U10" i="1" a="1"/>
  <c r="U10" i="1" s="1"/>
  <c r="P22" i="1" a="1"/>
  <c r="P22" i="1" s="1"/>
  <c r="V27" i="1" a="1"/>
  <c r="V27" i="1" s="1"/>
  <c r="O45" i="1" a="1"/>
  <c r="O45" i="1" s="1"/>
  <c r="W49" i="1" a="1"/>
  <c r="W49" i="1" s="1"/>
  <c r="T52" i="1" a="1"/>
  <c r="T52" i="1" s="1"/>
  <c r="T53" i="1" a="1"/>
  <c r="T53" i="1" s="1"/>
  <c r="R65" i="1" a="1"/>
  <c r="R65" i="1" s="1"/>
  <c r="Q86" i="1" a="1"/>
  <c r="Q86" i="1" s="1"/>
  <c r="O124" i="1" a="1"/>
  <c r="O124" i="1" s="1"/>
  <c r="L12" i="1" a="1"/>
  <c r="L12" i="1" s="1"/>
  <c r="R20" i="1" a="1"/>
  <c r="R20" i="1" s="1"/>
  <c r="Q32" i="1" a="1"/>
  <c r="Q32" i="1" s="1"/>
  <c r="R85" i="1" a="1"/>
  <c r="R85" i="1" s="1"/>
  <c r="S20" i="1" a="1"/>
  <c r="S20" i="1" s="1"/>
  <c r="P47" i="1" a="1"/>
  <c r="P47" i="1" s="1"/>
  <c r="W60" i="1" a="1"/>
  <c r="W60" i="1" s="1"/>
  <c r="V243" i="1" a="1"/>
  <c r="V243" i="1" s="1"/>
  <c r="M12" i="1" a="1"/>
  <c r="M12" i="1" s="1"/>
  <c r="O26" i="1" a="1"/>
  <c r="O26" i="1" s="1"/>
  <c r="L53" i="1" a="1"/>
  <c r="L53" i="1" s="1"/>
  <c r="S83" i="1" a="1"/>
  <c r="S83" i="1" s="1"/>
  <c r="S121" i="1" a="1"/>
  <c r="S121" i="1" s="1"/>
  <c r="R31" i="1" a="1"/>
  <c r="R31" i="1" s="1"/>
  <c r="N50" i="1" a="1"/>
  <c r="N50" i="1" s="1"/>
  <c r="P63" i="1" a="1"/>
  <c r="P63" i="1" s="1"/>
  <c r="O86" i="1" a="1"/>
  <c r="O86" i="1" s="1"/>
  <c r="O101" i="1" a="1"/>
  <c r="O101" i="1" s="1"/>
  <c r="T224" i="1" a="1"/>
  <c r="T224" i="1" s="1"/>
  <c r="P9" i="1" a="1"/>
  <c r="P9" i="1" s="1"/>
  <c r="T31" i="1" a="1"/>
  <c r="T31" i="1" s="1"/>
  <c r="P82" i="1" a="1"/>
  <c r="P82" i="1" s="1"/>
  <c r="W224" i="1" a="1"/>
  <c r="W224" i="1" s="1"/>
  <c r="S26" i="1" a="1"/>
  <c r="S26" i="1" s="1"/>
  <c r="V68" i="1" a="1"/>
  <c r="V68" i="1" s="1"/>
  <c r="W7" i="1" a="1"/>
  <c r="W7" i="1" s="1"/>
  <c r="W10" i="1" a="1"/>
  <c r="W10" i="1" s="1"/>
  <c r="T20" i="1" a="1"/>
  <c r="T20" i="1" s="1"/>
  <c r="N20" i="1" a="1"/>
  <c r="N20" i="1" s="1"/>
  <c r="Q20" i="1" a="1"/>
  <c r="Q20" i="1" s="1"/>
  <c r="X20" i="1" a="1"/>
  <c r="X20" i="1" s="1"/>
  <c r="P20" i="1" a="1"/>
  <c r="P20" i="1" s="1"/>
  <c r="M20" i="1" a="1"/>
  <c r="M20" i="1" s="1"/>
  <c r="O20" i="1" a="1"/>
  <c r="O20" i="1" s="1"/>
  <c r="L20" i="1" a="1"/>
  <c r="L20" i="1" s="1"/>
  <c r="W20" i="1" a="1"/>
  <c r="W20" i="1" s="1"/>
  <c r="R25" i="1" a="1"/>
  <c r="R25" i="1" s="1"/>
  <c r="L28" i="1" a="1"/>
  <c r="L28" i="1" s="1"/>
  <c r="V29" i="1" a="1"/>
  <c r="V29" i="1" s="1"/>
  <c r="Q61" i="1" a="1"/>
  <c r="Q61" i="1" s="1"/>
  <c r="W63" i="1" a="1"/>
  <c r="W63" i="1" s="1"/>
  <c r="T65" i="1" a="1"/>
  <c r="T65" i="1" s="1"/>
  <c r="W68" i="1" a="1"/>
  <c r="W68" i="1" s="1"/>
  <c r="X84" i="1" a="1"/>
  <c r="X84" i="1" s="1"/>
  <c r="S86" i="1" a="1"/>
  <c r="S86" i="1" s="1"/>
  <c r="O107" i="1" a="1"/>
  <c r="O107" i="1" s="1"/>
  <c r="N122" i="1" a="1"/>
  <c r="N122" i="1" s="1"/>
  <c r="R127" i="1" a="1"/>
  <c r="R127" i="1" s="1"/>
  <c r="U213" i="1" a="1"/>
  <c r="U213" i="1" s="1"/>
  <c r="R19" i="1" a="1"/>
  <c r="R19" i="1" s="1"/>
  <c r="L19" i="1" a="1"/>
  <c r="L19" i="1" s="1"/>
  <c r="X19" i="1" a="1"/>
  <c r="X19" i="1" s="1"/>
  <c r="O19" i="1" a="1"/>
  <c r="O19" i="1" s="1"/>
  <c r="N19" i="1" a="1"/>
  <c r="N19" i="1" s="1"/>
  <c r="W19" i="1" a="1"/>
  <c r="W19" i="1" s="1"/>
  <c r="V19" i="1" a="1"/>
  <c r="V19" i="1" s="1"/>
  <c r="U19" i="1" a="1"/>
  <c r="U19" i="1" s="1"/>
  <c r="M19" i="1" a="1"/>
  <c r="M19" i="1" s="1"/>
  <c r="S19" i="1" a="1"/>
  <c r="S19" i="1" s="1"/>
  <c r="Q19" i="1" a="1"/>
  <c r="Q19" i="1" s="1"/>
  <c r="P19" i="1" a="1"/>
  <c r="P19" i="1" s="1"/>
  <c r="Y7" i="1" a="1"/>
  <c r="Y7" i="1" s="1"/>
  <c r="P54" i="1" a="1"/>
  <c r="P54" i="1" s="1"/>
  <c r="X15" i="1" a="1"/>
  <c r="X15" i="1" s="1"/>
  <c r="M49" i="1" a="1"/>
  <c r="M49" i="1" s="1"/>
  <c r="Q54" i="1" a="1"/>
  <c r="Q54" i="1" s="1"/>
  <c r="X150" i="1" a="1"/>
  <c r="X150" i="1" s="1"/>
  <c r="Q31" i="1" a="1"/>
  <c r="Q31" i="1" s="1"/>
  <c r="S59" i="1" a="1"/>
  <c r="S59" i="1" s="1"/>
  <c r="O69" i="1" a="1"/>
  <c r="O69" i="1" s="1"/>
  <c r="O188" i="1" a="1"/>
  <c r="O188" i="1" s="1"/>
  <c r="V20" i="1" a="1"/>
  <c r="V20" i="1" s="1"/>
  <c r="R45" i="1" a="1"/>
  <c r="R45" i="1" s="1"/>
  <c r="X45" i="1" a="1"/>
  <c r="X45" i="1" s="1"/>
  <c r="Q45" i="1" a="1"/>
  <c r="Q45" i="1" s="1"/>
  <c r="V45" i="1" a="1"/>
  <c r="V45" i="1" s="1"/>
  <c r="Y45" i="1" a="1"/>
  <c r="Y45" i="1" s="1"/>
  <c r="N45" i="1" a="1"/>
  <c r="N45" i="1" s="1"/>
  <c r="W45" i="1" a="1"/>
  <c r="W45" i="1" s="1"/>
  <c r="M45" i="1" a="1"/>
  <c r="M45" i="1" s="1"/>
  <c r="U45" i="1" a="1"/>
  <c r="U45" i="1" s="1"/>
  <c r="L45" i="1" a="1"/>
  <c r="L45" i="1" s="1"/>
  <c r="T45" i="1" a="1"/>
  <c r="T45" i="1" s="1"/>
  <c r="S45" i="1" a="1"/>
  <c r="S45" i="1" s="1"/>
  <c r="Y92" i="1" a="1"/>
  <c r="Y92" i="1" s="1"/>
  <c r="O119" i="1" a="1"/>
  <c r="O119" i="1" s="1"/>
  <c r="T10" i="1" a="1"/>
  <c r="T10" i="1" s="1"/>
  <c r="O93" i="1" a="1"/>
  <c r="O93" i="1" s="1"/>
  <c r="N124" i="1" a="1"/>
  <c r="N124" i="1" s="1"/>
  <c r="P61" i="1" a="1"/>
  <c r="P61" i="1" s="1"/>
  <c r="V8" i="1" a="1"/>
  <c r="V8" i="1" s="1"/>
  <c r="T12" i="1" a="1"/>
  <c r="T12" i="1" s="1"/>
  <c r="N12" i="1" a="1"/>
  <c r="N12" i="1" s="1"/>
  <c r="S12" i="1" a="1"/>
  <c r="S12" i="1" s="1"/>
  <c r="Y12" i="1" a="1"/>
  <c r="Y12" i="1" s="1"/>
  <c r="R12" i="1" a="1"/>
  <c r="R12" i="1" s="1"/>
  <c r="X12" i="1" a="1"/>
  <c r="X12" i="1" s="1"/>
  <c r="U12" i="1" a="1"/>
  <c r="U12" i="1" s="1"/>
  <c r="Q12" i="1" a="1"/>
  <c r="Q12" i="1" s="1"/>
  <c r="P12" i="1" a="1"/>
  <c r="P12" i="1" s="1"/>
  <c r="N14" i="1" a="1"/>
  <c r="N14" i="1" s="1"/>
  <c r="S48" i="1" a="1"/>
  <c r="S48" i="1" s="1"/>
  <c r="P51" i="1" a="1"/>
  <c r="P51" i="1" s="1"/>
  <c r="U52" i="1" a="1"/>
  <c r="U52" i="1" s="1"/>
  <c r="P58" i="1" a="1"/>
  <c r="P58" i="1" s="1"/>
  <c r="M60" i="1" a="1"/>
  <c r="M60" i="1" s="1"/>
  <c r="R61" i="1" a="1"/>
  <c r="R61" i="1" s="1"/>
  <c r="V85" i="1" a="1"/>
  <c r="V85" i="1" s="1"/>
  <c r="Y105" i="1" a="1"/>
  <c r="Y105" i="1" s="1"/>
  <c r="T118" i="1" a="1"/>
  <c r="T118" i="1" s="1"/>
  <c r="Y123" i="1" a="1"/>
  <c r="Y123" i="1" s="1"/>
  <c r="U156" i="1" a="1"/>
  <c r="U156" i="1" s="1"/>
  <c r="Y168" i="1" a="1"/>
  <c r="Y168" i="1" s="1"/>
  <c r="U200" i="1" a="1"/>
  <c r="U200" i="1" s="1"/>
  <c r="U30" i="1" a="1"/>
  <c r="U30" i="1" s="1"/>
  <c r="O30" i="1" a="1"/>
  <c r="O30" i="1" s="1"/>
  <c r="W30" i="1" a="1"/>
  <c r="W30" i="1" s="1"/>
  <c r="M30" i="1" a="1"/>
  <c r="M30" i="1" s="1"/>
  <c r="V30" i="1" a="1"/>
  <c r="V30" i="1" s="1"/>
  <c r="L30" i="1" a="1"/>
  <c r="L30" i="1" s="1"/>
  <c r="T30" i="1" a="1"/>
  <c r="T30" i="1" s="1"/>
  <c r="Q30" i="1" a="1"/>
  <c r="Q30" i="1" s="1"/>
  <c r="P30" i="1" a="1"/>
  <c r="P30" i="1" s="1"/>
  <c r="N30" i="1" a="1"/>
  <c r="N30" i="1" s="1"/>
  <c r="Y30" i="1" a="1"/>
  <c r="Y30" i="1" s="1"/>
  <c r="W173" i="1" a="1"/>
  <c r="W173" i="1" s="1"/>
  <c r="Q173" i="1" a="1"/>
  <c r="Q173" i="1" s="1"/>
  <c r="U173" i="1" a="1"/>
  <c r="U173" i="1" s="1"/>
  <c r="T173" i="1" a="1"/>
  <c r="T173" i="1" s="1"/>
  <c r="P173" i="1" a="1"/>
  <c r="P173" i="1" s="1"/>
  <c r="Y173" i="1" a="1"/>
  <c r="Y173" i="1" s="1"/>
  <c r="O173" i="1" a="1"/>
  <c r="O173" i="1" s="1"/>
  <c r="X173" i="1" a="1"/>
  <c r="X173" i="1" s="1"/>
  <c r="R173" i="1" a="1"/>
  <c r="R173" i="1" s="1"/>
  <c r="V173" i="1" a="1"/>
  <c r="V173" i="1" s="1"/>
  <c r="S173" i="1" a="1"/>
  <c r="S173" i="1" s="1"/>
  <c r="O21" i="1" a="1"/>
  <c r="O21" i="1" s="1"/>
  <c r="L50" i="1" a="1"/>
  <c r="L50" i="1" s="1"/>
  <c r="U60" i="1" a="1"/>
  <c r="U60" i="1" s="1"/>
  <c r="N13" i="1" a="1"/>
  <c r="N13" i="1" s="1"/>
  <c r="P96" i="1" a="1"/>
  <c r="P96" i="1" s="1"/>
  <c r="U20" i="1" a="1"/>
  <c r="U20" i="1" s="1"/>
  <c r="R32" i="1" a="1"/>
  <c r="R32" i="1" s="1"/>
  <c r="Q59" i="1" a="1"/>
  <c r="Q59" i="1" s="1"/>
  <c r="O121" i="1" a="1"/>
  <c r="O121" i="1" s="1"/>
  <c r="Y243" i="1" a="1"/>
  <c r="Y243" i="1" s="1"/>
  <c r="O9" i="1" a="1"/>
  <c r="O9" i="1" s="1"/>
  <c r="O12" i="1" a="1"/>
  <c r="O12" i="1" s="1"/>
  <c r="T19" i="1" a="1"/>
  <c r="T19" i="1" s="1"/>
  <c r="R30" i="1" a="1"/>
  <c r="R30" i="1" s="1"/>
  <c r="O90" i="1" a="1"/>
  <c r="O90" i="1" s="1"/>
  <c r="P273" i="1" a="1"/>
  <c r="P273" i="1" s="1"/>
  <c r="V261" i="1" a="1"/>
  <c r="V261" i="1" s="1"/>
  <c r="U268" i="1" a="1"/>
  <c r="U268" i="1" s="1"/>
  <c r="N268" i="1" a="1"/>
  <c r="N268" i="1" s="1"/>
  <c r="T268" i="1" a="1"/>
  <c r="T268" i="1" s="1"/>
  <c r="U263" i="1" a="1"/>
  <c r="U263" i="1" s="1"/>
  <c r="T261" i="1" a="1"/>
  <c r="T261" i="1" s="1"/>
  <c r="L261" i="1" a="1"/>
  <c r="L261" i="1" s="1"/>
  <c r="U234" i="1" a="1"/>
  <c r="U234" i="1" s="1"/>
  <c r="T275" i="1" a="1"/>
  <c r="T275" i="1" s="1"/>
  <c r="Y273" i="1" a="1"/>
  <c r="Y273" i="1" s="1"/>
  <c r="V272" i="1" a="1"/>
  <c r="V272" i="1" s="1"/>
  <c r="M272" i="1" a="1"/>
  <c r="M272" i="1" s="1"/>
  <c r="L263" i="1" a="1"/>
  <c r="L263" i="1" s="1"/>
  <c r="U256" i="1" a="1"/>
  <c r="U256" i="1" s="1"/>
  <c r="M256" i="1" a="1"/>
  <c r="M256" i="1" s="1"/>
  <c r="S246" i="1" a="1"/>
  <c r="S246" i="1" s="1"/>
  <c r="L246" i="1" a="1"/>
  <c r="L246" i="1" s="1"/>
  <c r="R278" i="1" a="1"/>
  <c r="R278" i="1" s="1"/>
  <c r="N273" i="1" a="1"/>
  <c r="N273" i="1" s="1"/>
  <c r="S268" i="1" a="1"/>
  <c r="S268" i="1" s="1"/>
  <c r="T263" i="1" a="1"/>
  <c r="T263" i="1" s="1"/>
  <c r="S261" i="1" a="1"/>
  <c r="S261" i="1" s="1"/>
  <c r="P274" i="1" a="1"/>
  <c r="P274" i="1" s="1"/>
  <c r="L273" i="1" a="1"/>
  <c r="L273" i="1" s="1"/>
  <c r="T272" i="1" a="1"/>
  <c r="T272" i="1" s="1"/>
  <c r="Y271" i="1" a="1"/>
  <c r="Y271" i="1" s="1"/>
  <c r="Q271" i="1" a="1"/>
  <c r="Q271" i="1" s="1"/>
  <c r="P268" i="1" a="1"/>
  <c r="P268" i="1" s="1"/>
  <c r="Q278" i="1" a="1"/>
  <c r="Q278" i="1" s="1"/>
  <c r="Q274" i="1" a="1"/>
  <c r="Q274" i="1" s="1"/>
  <c r="T273" i="1" a="1"/>
  <c r="T273" i="1" s="1"/>
  <c r="N263" i="1" a="1"/>
  <c r="N263" i="1" s="1"/>
  <c r="Y261" i="1" a="1"/>
  <c r="Y261" i="1" s="1"/>
  <c r="N261" i="1" a="1"/>
  <c r="N261" i="1" s="1"/>
  <c r="X256" i="1" a="1"/>
  <c r="X256" i="1" s="1"/>
  <c r="L256" i="1" a="1"/>
  <c r="L256" i="1" s="1"/>
  <c r="T247" i="1" a="1"/>
  <c r="T247" i="1" s="1"/>
  <c r="R246" i="1" a="1"/>
  <c r="R246" i="1" s="1"/>
  <c r="Q243" i="1" a="1"/>
  <c r="Q243" i="1" s="1"/>
  <c r="X223" i="1" a="1"/>
  <c r="X223" i="1" s="1"/>
  <c r="S220" i="1" a="1"/>
  <c r="S220" i="1" s="1"/>
  <c r="P278" i="1" a="1"/>
  <c r="P278" i="1" s="1"/>
  <c r="Y275" i="1" a="1"/>
  <c r="Y275" i="1" s="1"/>
  <c r="L275" i="1" a="1"/>
  <c r="L275" i="1" s="1"/>
  <c r="U272" i="1" a="1"/>
  <c r="U272" i="1" s="1"/>
  <c r="X271" i="1" a="1"/>
  <c r="X271" i="1" s="1"/>
  <c r="Q269" i="1" a="1"/>
  <c r="Q269" i="1" s="1"/>
  <c r="T264" i="1" a="1"/>
  <c r="T264" i="1" s="1"/>
  <c r="Y263" i="1" a="1"/>
  <c r="Y263" i="1" s="1"/>
  <c r="X243" i="1" a="1"/>
  <c r="X243" i="1" s="1"/>
  <c r="Q223" i="1" a="1"/>
  <c r="Q223" i="1" s="1"/>
  <c r="V221" i="1" a="1"/>
  <c r="V221" i="1" s="1"/>
  <c r="Y220" i="1" a="1"/>
  <c r="Y220" i="1" s="1"/>
  <c r="L220" i="1" a="1"/>
  <c r="L220" i="1" s="1"/>
  <c r="V219" i="1" a="1"/>
  <c r="V219" i="1" s="1"/>
  <c r="M278" i="1" a="1"/>
  <c r="M278" i="1" s="1"/>
  <c r="V276" i="1" a="1"/>
  <c r="V276" i="1" s="1"/>
  <c r="S273" i="1" a="1"/>
  <c r="S273" i="1" s="1"/>
  <c r="R268" i="1" a="1"/>
  <c r="R268" i="1" s="1"/>
  <c r="M263" i="1" a="1"/>
  <c r="M263" i="1" s="1"/>
  <c r="X261" i="1" a="1"/>
  <c r="X261" i="1" s="1"/>
  <c r="M261" i="1" a="1"/>
  <c r="M261" i="1" s="1"/>
  <c r="V256" i="1" a="1"/>
  <c r="V256" i="1" s="1"/>
  <c r="Y246" i="1" a="1"/>
  <c r="Y246" i="1" s="1"/>
  <c r="Q246" i="1" a="1"/>
  <c r="Q246" i="1" s="1"/>
  <c r="O243" i="1" a="1"/>
  <c r="O243" i="1" s="1"/>
  <c r="X242" i="1" a="1"/>
  <c r="X242" i="1" s="1"/>
  <c r="T234" i="1" a="1"/>
  <c r="T234" i="1" s="1"/>
  <c r="W223" i="1" a="1"/>
  <c r="W223" i="1" s="1"/>
  <c r="P223" i="1" a="1"/>
  <c r="P223" i="1" s="1"/>
  <c r="O221" i="1" a="1"/>
  <c r="O221" i="1" s="1"/>
  <c r="R220" i="1" a="1"/>
  <c r="R220" i="1" s="1"/>
  <c r="O219" i="1" a="1"/>
  <c r="O219" i="1" s="1"/>
  <c r="N274" i="1" a="1"/>
  <c r="N274" i="1" s="1"/>
  <c r="X278" i="1" a="1"/>
  <c r="X278" i="1" s="1"/>
  <c r="R276" i="1" a="1"/>
  <c r="R276" i="1" s="1"/>
  <c r="U275" i="1" a="1"/>
  <c r="U275" i="1" s="1"/>
  <c r="Y274" i="1" a="1"/>
  <c r="Y274" i="1" s="1"/>
  <c r="M273" i="1" a="1"/>
  <c r="M273" i="1" s="1"/>
  <c r="M268" i="1" a="1"/>
  <c r="M268" i="1" s="1"/>
  <c r="U261" i="1" a="1"/>
  <c r="U261" i="1" s="1"/>
  <c r="Q260" i="1" a="1"/>
  <c r="Q260" i="1" s="1"/>
  <c r="S256" i="1" a="1"/>
  <c r="S256" i="1" s="1"/>
  <c r="O247" i="1" a="1"/>
  <c r="O247" i="1" s="1"/>
  <c r="U243" i="1" a="1"/>
  <c r="U243" i="1" s="1"/>
  <c r="M243" i="1" a="1"/>
  <c r="M243" i="1" s="1"/>
  <c r="O242" i="1" a="1"/>
  <c r="O242" i="1" s="1"/>
  <c r="V230" i="1" a="1"/>
  <c r="V230" i="1" s="1"/>
  <c r="O230" i="1" a="1"/>
  <c r="O230" i="1" s="1"/>
  <c r="U223" i="1" a="1"/>
  <c r="U223" i="1" s="1"/>
  <c r="T221" i="1" a="1"/>
  <c r="T221" i="1" s="1"/>
  <c r="W220" i="1" a="1"/>
  <c r="W220" i="1" s="1"/>
  <c r="T219" i="1" a="1"/>
  <c r="T219" i="1" s="1"/>
  <c r="M219" i="1" a="1"/>
  <c r="M219" i="1" s="1"/>
  <c r="W270" i="1" a="1"/>
  <c r="W270" i="1" s="1"/>
  <c r="V269" i="1" a="1"/>
  <c r="V269" i="1" s="1"/>
  <c r="P264" i="1" a="1"/>
  <c r="P264" i="1" s="1"/>
  <c r="P261" i="1" a="1"/>
  <c r="P261" i="1" s="1"/>
  <c r="W258" i="1" a="1"/>
  <c r="W258" i="1" s="1"/>
  <c r="S243" i="1" a="1"/>
  <c r="S243" i="1" s="1"/>
  <c r="N242" i="1" a="1"/>
  <c r="N242" i="1" s="1"/>
  <c r="Y235" i="1" a="1"/>
  <c r="Y235" i="1" s="1"/>
  <c r="W230" i="1" a="1"/>
  <c r="W230" i="1" s="1"/>
  <c r="M230" i="1" a="1"/>
  <c r="M230" i="1" s="1"/>
  <c r="T223" i="1" a="1"/>
  <c r="T223" i="1" s="1"/>
  <c r="Y221" i="1" a="1"/>
  <c r="Y221" i="1" s="1"/>
  <c r="V220" i="1" a="1"/>
  <c r="V220" i="1" s="1"/>
  <c r="M220" i="1" a="1"/>
  <c r="M220" i="1" s="1"/>
  <c r="S219" i="1" a="1"/>
  <c r="S219" i="1" s="1"/>
  <c r="P275" i="1" a="1"/>
  <c r="P275" i="1" s="1"/>
  <c r="U274" i="1" a="1"/>
  <c r="U274" i="1" s="1"/>
  <c r="W271" i="1" a="1"/>
  <c r="W271" i="1" s="1"/>
  <c r="U270" i="1" a="1"/>
  <c r="U270" i="1" s="1"/>
  <c r="U247" i="1" a="1"/>
  <c r="U247" i="1" s="1"/>
  <c r="M246" i="1" a="1"/>
  <c r="M246" i="1" s="1"/>
  <c r="O235" i="1" a="1"/>
  <c r="O235" i="1" s="1"/>
  <c r="S234" i="1" a="1"/>
  <c r="S234" i="1" s="1"/>
  <c r="L230" i="1" a="1"/>
  <c r="L230" i="1" s="1"/>
  <c r="N221" i="1" a="1"/>
  <c r="N221" i="1" s="1"/>
  <c r="U220" i="1" a="1"/>
  <c r="U220" i="1" s="1"/>
  <c r="X214" i="1" a="1"/>
  <c r="X214" i="1" s="1"/>
  <c r="S206" i="1" a="1"/>
  <c r="S206" i="1" s="1"/>
  <c r="N275" i="1" a="1"/>
  <c r="N275" i="1" s="1"/>
  <c r="L274" i="1" a="1"/>
  <c r="L274" i="1" s="1"/>
  <c r="S269" i="1" a="1"/>
  <c r="S269" i="1" s="1"/>
  <c r="P260" i="1" a="1"/>
  <c r="P260" i="1" s="1"/>
  <c r="S258" i="1" a="1"/>
  <c r="S258" i="1" s="1"/>
  <c r="Y256" i="1" a="1"/>
  <c r="Y256" i="1" s="1"/>
  <c r="X246" i="1" a="1"/>
  <c r="X246" i="1" s="1"/>
  <c r="R243" i="1" a="1"/>
  <c r="R243" i="1" s="1"/>
  <c r="W242" i="1" a="1"/>
  <c r="W242" i="1" s="1"/>
  <c r="X235" i="1" a="1"/>
  <c r="X235" i="1" s="1"/>
  <c r="S223" i="1" a="1"/>
  <c r="S223" i="1" s="1"/>
  <c r="X221" i="1" a="1"/>
  <c r="X221" i="1" s="1"/>
  <c r="M221" i="1" a="1"/>
  <c r="M221" i="1" s="1"/>
  <c r="R219" i="1" a="1"/>
  <c r="R219" i="1" s="1"/>
  <c r="O218" i="1" a="1"/>
  <c r="O218" i="1" s="1"/>
  <c r="P214" i="1" a="1"/>
  <c r="P214" i="1" s="1"/>
  <c r="W200" i="1" a="1"/>
  <c r="W200" i="1" s="1"/>
  <c r="O200" i="1" a="1"/>
  <c r="O200" i="1" s="1"/>
  <c r="X186" i="1" a="1"/>
  <c r="X186" i="1" s="1"/>
  <c r="R271" i="1" a="1"/>
  <c r="R271" i="1" s="1"/>
  <c r="T270" i="1" a="1"/>
  <c r="T270" i="1" s="1"/>
  <c r="R269" i="1" a="1"/>
  <c r="R269" i="1" s="1"/>
  <c r="Q258" i="1" a="1"/>
  <c r="Q258" i="1" s="1"/>
  <c r="W257" i="1" a="1"/>
  <c r="W257" i="1" s="1"/>
  <c r="P247" i="1" a="1"/>
  <c r="P247" i="1" s="1"/>
  <c r="W246" i="1" a="1"/>
  <c r="W246" i="1" s="1"/>
  <c r="R272" i="1" a="1"/>
  <c r="R272" i="1" s="1"/>
  <c r="S270" i="1" a="1"/>
  <c r="S270" i="1" s="1"/>
  <c r="Y264" i="1" a="1"/>
  <c r="Y264" i="1" s="1"/>
  <c r="P258" i="1" a="1"/>
  <c r="P258" i="1" s="1"/>
  <c r="V246" i="1" a="1"/>
  <c r="V246" i="1" s="1"/>
  <c r="U242" i="1" a="1"/>
  <c r="U242" i="1" s="1"/>
  <c r="V235" i="1" a="1"/>
  <c r="V235" i="1" s="1"/>
  <c r="P234" i="1" a="1"/>
  <c r="P234" i="1" s="1"/>
  <c r="Y219" i="1" a="1"/>
  <c r="Y219" i="1" s="1"/>
  <c r="V218" i="1" a="1"/>
  <c r="V218" i="1" s="1"/>
  <c r="V214" i="1" a="1"/>
  <c r="V214" i="1" s="1"/>
  <c r="M214" i="1" a="1"/>
  <c r="M214" i="1" s="1"/>
  <c r="O207" i="1" a="1"/>
  <c r="O207" i="1" s="1"/>
  <c r="U192" i="1" a="1"/>
  <c r="U192" i="1" s="1"/>
  <c r="O189" i="1" a="1"/>
  <c r="O189" i="1" s="1"/>
  <c r="Q276" i="1" a="1"/>
  <c r="Q276" i="1" s="1"/>
  <c r="W274" i="1" a="1"/>
  <c r="W274" i="1" s="1"/>
  <c r="X269" i="1" a="1"/>
  <c r="X269" i="1" s="1"/>
  <c r="X264" i="1" a="1"/>
  <c r="X264" i="1" s="1"/>
  <c r="T256" i="1" a="1"/>
  <c r="T256" i="1" s="1"/>
  <c r="T242" i="1" a="1"/>
  <c r="T242" i="1" s="1"/>
  <c r="S235" i="1" a="1"/>
  <c r="S235" i="1" s="1"/>
  <c r="W234" i="1" a="1"/>
  <c r="W234" i="1" s="1"/>
  <c r="N230" i="1" a="1"/>
  <c r="N230" i="1" s="1"/>
  <c r="O223" i="1" a="1"/>
  <c r="O223" i="1" s="1"/>
  <c r="Q219" i="1" a="1"/>
  <c r="Q219" i="1" s="1"/>
  <c r="V206" i="1" a="1"/>
  <c r="V206" i="1" s="1"/>
  <c r="R200" i="1" a="1"/>
  <c r="R200" i="1" s="1"/>
  <c r="T198" i="1" a="1"/>
  <c r="T198" i="1" s="1"/>
  <c r="P197" i="1" a="1"/>
  <c r="P197" i="1" s="1"/>
  <c r="V192" i="1" a="1"/>
  <c r="V192" i="1" s="1"/>
  <c r="M192" i="1" a="1"/>
  <c r="M192" i="1" s="1"/>
  <c r="W189" i="1" a="1"/>
  <c r="W189" i="1" s="1"/>
  <c r="U188" i="1" a="1"/>
  <c r="U188" i="1" s="1"/>
  <c r="P186" i="1" a="1"/>
  <c r="P186" i="1" s="1"/>
  <c r="S182" i="1" a="1"/>
  <c r="S182" i="1" s="1"/>
  <c r="X155" i="1" a="1"/>
  <c r="X155" i="1" s="1"/>
  <c r="Q155" i="1" a="1"/>
  <c r="Q155" i="1" s="1"/>
  <c r="V128" i="1" a="1"/>
  <c r="V128" i="1" s="1"/>
  <c r="M271" i="1" a="1"/>
  <c r="M271" i="1" s="1"/>
  <c r="P269" i="1" a="1"/>
  <c r="P269" i="1" s="1"/>
  <c r="P263" i="1" a="1"/>
  <c r="P263" i="1" s="1"/>
  <c r="X260" i="1" a="1"/>
  <c r="X260" i="1" s="1"/>
  <c r="N243" i="1" a="1"/>
  <c r="N243" i="1" s="1"/>
  <c r="R242" i="1" a="1"/>
  <c r="R242" i="1" s="1"/>
  <c r="R235" i="1" a="1"/>
  <c r="R235" i="1" s="1"/>
  <c r="N223" i="1" a="1"/>
  <c r="N223" i="1" s="1"/>
  <c r="W221" i="1" a="1"/>
  <c r="W221" i="1" s="1"/>
  <c r="U218" i="1" a="1"/>
  <c r="U218" i="1" s="1"/>
  <c r="Y214" i="1" a="1"/>
  <c r="Y214" i="1" s="1"/>
  <c r="L214" i="1" a="1"/>
  <c r="L214" i="1" s="1"/>
  <c r="N207" i="1" a="1"/>
  <c r="N207" i="1" s="1"/>
  <c r="M189" i="1" a="1"/>
  <c r="M189" i="1" s="1"/>
  <c r="V274" i="1" a="1"/>
  <c r="V274" i="1" s="1"/>
  <c r="L271" i="1" a="1"/>
  <c r="L271" i="1" s="1"/>
  <c r="R264" i="1" a="1"/>
  <c r="R264" i="1" s="1"/>
  <c r="R256" i="1" a="1"/>
  <c r="R256" i="1" s="1"/>
  <c r="P242" i="1" a="1"/>
  <c r="P242" i="1" s="1"/>
  <c r="V234" i="1" a="1"/>
  <c r="V234" i="1" s="1"/>
  <c r="U222" i="1" a="1"/>
  <c r="U222" i="1" s="1"/>
  <c r="U221" i="1" a="1"/>
  <c r="U221" i="1" s="1"/>
  <c r="X220" i="1" a="1"/>
  <c r="X220" i="1" s="1"/>
  <c r="N219" i="1" a="1"/>
  <c r="N219" i="1" s="1"/>
  <c r="S215" i="1" a="1"/>
  <c r="S215" i="1" s="1"/>
  <c r="W214" i="1" a="1"/>
  <c r="W214" i="1" s="1"/>
  <c r="Y207" i="1" a="1"/>
  <c r="Y207" i="1" s="1"/>
  <c r="U206" i="1" a="1"/>
  <c r="U206" i="1" s="1"/>
  <c r="V199" i="1" a="1"/>
  <c r="V199" i="1" s="1"/>
  <c r="M199" i="1" a="1"/>
  <c r="M199" i="1" s="1"/>
  <c r="Y197" i="1" a="1"/>
  <c r="Y197" i="1" s="1"/>
  <c r="N197" i="1" a="1"/>
  <c r="N197" i="1" s="1"/>
  <c r="L192" i="1" a="1"/>
  <c r="L192" i="1" s="1"/>
  <c r="U189" i="1" a="1"/>
  <c r="U189" i="1" s="1"/>
  <c r="R188" i="1" a="1"/>
  <c r="R188" i="1" s="1"/>
  <c r="W186" i="1" a="1"/>
  <c r="W186" i="1" s="1"/>
  <c r="O186" i="1" a="1"/>
  <c r="O186" i="1" s="1"/>
  <c r="R182" i="1" a="1"/>
  <c r="R182" i="1" s="1"/>
  <c r="W155" i="1" a="1"/>
  <c r="W155" i="1" s="1"/>
  <c r="W277" i="1" a="1"/>
  <c r="W277" i="1" s="1"/>
  <c r="X272" i="1" a="1"/>
  <c r="X272" i="1" s="1"/>
  <c r="Q264" i="1" a="1"/>
  <c r="Q264" i="1" s="1"/>
  <c r="W260" i="1" a="1"/>
  <c r="W260" i="1" s="1"/>
  <c r="L243" i="1" a="1"/>
  <c r="L243" i="1" s="1"/>
  <c r="Q235" i="1" a="1"/>
  <c r="Q235" i="1" s="1"/>
  <c r="Q234" i="1" a="1"/>
  <c r="Q234" i="1" s="1"/>
  <c r="L223" i="1" a="1"/>
  <c r="L223" i="1" s="1"/>
  <c r="T218" i="1" a="1"/>
  <c r="T218" i="1" s="1"/>
  <c r="U277" i="1" a="1"/>
  <c r="U277" i="1" s="1"/>
  <c r="S257" i="1" a="1"/>
  <c r="S257" i="1" s="1"/>
  <c r="P256" i="1" a="1"/>
  <c r="P256" i="1" s="1"/>
  <c r="P235" i="1" a="1"/>
  <c r="P235" i="1" s="1"/>
  <c r="T231" i="1" a="1"/>
  <c r="T231" i="1" s="1"/>
  <c r="R222" i="1" a="1"/>
  <c r="R222" i="1" s="1"/>
  <c r="S221" i="1" a="1"/>
  <c r="S221" i="1" s="1"/>
  <c r="L219" i="1" a="1"/>
  <c r="L219" i="1" s="1"/>
  <c r="W278" i="1" a="1"/>
  <c r="W278" i="1" s="1"/>
  <c r="Q277" i="1" a="1"/>
  <c r="Q277" i="1" s="1"/>
  <c r="V275" i="1" a="1"/>
  <c r="V275" i="1" s="1"/>
  <c r="P272" i="1" a="1"/>
  <c r="P272" i="1" s="1"/>
  <c r="Y268" i="1" a="1"/>
  <c r="Y268" i="1" s="1"/>
  <c r="Y262" i="1" a="1"/>
  <c r="Y262" i="1" s="1"/>
  <c r="R260" i="1" a="1"/>
  <c r="R260" i="1" s="1"/>
  <c r="W247" i="1" a="1"/>
  <c r="W247" i="1" s="1"/>
  <c r="U230" i="1" a="1"/>
  <c r="U230" i="1" s="1"/>
  <c r="T220" i="1" a="1"/>
  <c r="T220" i="1" s="1"/>
  <c r="Q218" i="1" a="1"/>
  <c r="Q218" i="1" s="1"/>
  <c r="P215" i="1" a="1"/>
  <c r="P215" i="1" s="1"/>
  <c r="R206" i="1" a="1"/>
  <c r="R206" i="1" s="1"/>
  <c r="V197" i="1" a="1"/>
  <c r="V197" i="1" s="1"/>
  <c r="S192" i="1" a="1"/>
  <c r="S192" i="1" s="1"/>
  <c r="Q191" i="1" a="1"/>
  <c r="Q191" i="1" s="1"/>
  <c r="P188" i="1" a="1"/>
  <c r="P188" i="1" s="1"/>
  <c r="X182" i="1" a="1"/>
  <c r="X182" i="1" s="1"/>
  <c r="O182" i="1" a="1"/>
  <c r="O182" i="1" s="1"/>
  <c r="U160" i="1" a="1"/>
  <c r="U160" i="1" s="1"/>
  <c r="N160" i="1" a="1"/>
  <c r="N160" i="1" s="1"/>
  <c r="N155" i="1" a="1"/>
  <c r="N155" i="1" s="1"/>
  <c r="T151" i="1" a="1"/>
  <c r="T151" i="1" s="1"/>
  <c r="N151" i="1" a="1"/>
  <c r="N151" i="1" s="1"/>
  <c r="T135" i="1" a="1"/>
  <c r="T135" i="1" s="1"/>
  <c r="M275" i="1" a="1"/>
  <c r="M275" i="1" s="1"/>
  <c r="R273" i="1" a="1"/>
  <c r="R273" i="1" s="1"/>
  <c r="X268" i="1" a="1"/>
  <c r="X268" i="1" s="1"/>
  <c r="N258" i="1" a="1"/>
  <c r="N258" i="1" s="1"/>
  <c r="T243" i="1" a="1"/>
  <c r="T243" i="1" s="1"/>
  <c r="Q221" i="1" a="1"/>
  <c r="Q221" i="1" s="1"/>
  <c r="N220" i="1" a="1"/>
  <c r="N220" i="1" s="1"/>
  <c r="R215" i="1" a="1"/>
  <c r="R215" i="1" s="1"/>
  <c r="U207" i="1" a="1"/>
  <c r="U207" i="1" s="1"/>
  <c r="L200" i="1" a="1"/>
  <c r="L200" i="1" s="1"/>
  <c r="Q198" i="1" a="1"/>
  <c r="Q198" i="1" s="1"/>
  <c r="T197" i="1" a="1"/>
  <c r="T197" i="1" s="1"/>
  <c r="N192" i="1" a="1"/>
  <c r="N192" i="1" s="1"/>
  <c r="R191" i="1" a="1"/>
  <c r="R191" i="1" s="1"/>
  <c r="Y189" i="1" a="1"/>
  <c r="Y189" i="1" s="1"/>
  <c r="W182" i="1" a="1"/>
  <c r="W182" i="1" s="1"/>
  <c r="L182" i="1" a="1"/>
  <c r="L182" i="1" s="1"/>
  <c r="U168" i="1" a="1"/>
  <c r="U168" i="1" s="1"/>
  <c r="U164" i="1" a="1"/>
  <c r="U164" i="1" s="1"/>
  <c r="U158" i="1" a="1"/>
  <c r="U158" i="1" s="1"/>
  <c r="Y155" i="1" a="1"/>
  <c r="Y155" i="1" s="1"/>
  <c r="L151" i="1" a="1"/>
  <c r="L151" i="1" s="1"/>
  <c r="S135" i="1" a="1"/>
  <c r="S135" i="1" s="1"/>
  <c r="M128" i="1" a="1"/>
  <c r="M128" i="1" s="1"/>
  <c r="X119" i="1" a="1"/>
  <c r="X119" i="1" s="1"/>
  <c r="V268" i="1" a="1"/>
  <c r="V268" i="1" s="1"/>
  <c r="V263" i="1" a="1"/>
  <c r="V263" i="1" s="1"/>
  <c r="Q262" i="1" a="1"/>
  <c r="Q262" i="1" s="1"/>
  <c r="O241" i="1" a="1"/>
  <c r="O241" i="1" s="1"/>
  <c r="S230" i="1" a="1"/>
  <c r="S230" i="1" s="1"/>
  <c r="N215" i="1" a="1"/>
  <c r="N215" i="1" s="1"/>
  <c r="Y206" i="1" a="1"/>
  <c r="Y206" i="1" s="1"/>
  <c r="O199" i="1" a="1"/>
  <c r="O199" i="1" s="1"/>
  <c r="P198" i="1" a="1"/>
  <c r="P198" i="1" s="1"/>
  <c r="X188" i="1" a="1"/>
  <c r="X188" i="1" s="1"/>
  <c r="T185" i="1" a="1"/>
  <c r="T185" i="1" s="1"/>
  <c r="O183" i="1" a="1"/>
  <c r="O183" i="1" s="1"/>
  <c r="U182" i="1" a="1"/>
  <c r="U182" i="1" s="1"/>
  <c r="S166" i="1" a="1"/>
  <c r="S166" i="1" s="1"/>
  <c r="R160" i="1" a="1"/>
  <c r="R160" i="1" s="1"/>
  <c r="S158" i="1" a="1"/>
  <c r="S158" i="1" s="1"/>
  <c r="M155" i="1" a="1"/>
  <c r="M155" i="1" s="1"/>
  <c r="S128" i="1" a="1"/>
  <c r="S128" i="1" s="1"/>
  <c r="M277" i="1" a="1"/>
  <c r="M277" i="1" s="1"/>
  <c r="L268" i="1" a="1"/>
  <c r="L268" i="1" s="1"/>
  <c r="P246" i="1" a="1"/>
  <c r="P246" i="1" s="1"/>
  <c r="R231" i="1" a="1"/>
  <c r="R231" i="1" s="1"/>
  <c r="R230" i="1" a="1"/>
  <c r="R230" i="1" s="1"/>
  <c r="X222" i="1" a="1"/>
  <c r="X222" i="1" s="1"/>
  <c r="T207" i="1" a="1"/>
  <c r="T207" i="1" s="1"/>
  <c r="X206" i="1" a="1"/>
  <c r="X206" i="1" s="1"/>
  <c r="S197" i="1" a="1"/>
  <c r="S197" i="1" s="1"/>
  <c r="P191" i="1" a="1"/>
  <c r="P191" i="1" s="1"/>
  <c r="T189" i="1" a="1"/>
  <c r="T189" i="1" s="1"/>
  <c r="W188" i="1" a="1"/>
  <c r="W188" i="1" s="1"/>
  <c r="S186" i="1" a="1"/>
  <c r="S186" i="1" s="1"/>
  <c r="O160" i="1" a="1"/>
  <c r="O160" i="1" s="1"/>
  <c r="S151" i="1" a="1"/>
  <c r="S151" i="1" s="1"/>
  <c r="Q150" i="1" a="1"/>
  <c r="Q150" i="1" s="1"/>
  <c r="R135" i="1" a="1"/>
  <c r="R135" i="1" s="1"/>
  <c r="L128" i="1" a="1"/>
  <c r="L128" i="1" s="1"/>
  <c r="L277" i="1" a="1"/>
  <c r="L277" i="1" s="1"/>
  <c r="Q270" i="1" a="1"/>
  <c r="Q270" i="1" s="1"/>
  <c r="S263" i="1" a="1"/>
  <c r="S263" i="1" s="1"/>
  <c r="V247" i="1" a="1"/>
  <c r="V247" i="1" s="1"/>
  <c r="N246" i="1" a="1"/>
  <c r="N246" i="1" s="1"/>
  <c r="P230" i="1" a="1"/>
  <c r="P230" i="1" s="1"/>
  <c r="L221" i="1" a="1"/>
  <c r="L221" i="1" s="1"/>
  <c r="X218" i="1" a="1"/>
  <c r="X218" i="1" s="1"/>
  <c r="Y200" i="1" a="1"/>
  <c r="Y200" i="1" s="1"/>
  <c r="X259" i="1" a="1"/>
  <c r="X259" i="1" s="1"/>
  <c r="U253" i="1" a="1"/>
  <c r="U253" i="1" s="1"/>
  <c r="M231" i="1" a="1"/>
  <c r="M231" i="1" s="1"/>
  <c r="V223" i="1" a="1"/>
  <c r="V223" i="1" s="1"/>
  <c r="O222" i="1" a="1"/>
  <c r="O222" i="1" s="1"/>
  <c r="W218" i="1" a="1"/>
  <c r="W218" i="1" s="1"/>
  <c r="L215" i="1" a="1"/>
  <c r="L215" i="1" s="1"/>
  <c r="P207" i="1" a="1"/>
  <c r="P207" i="1" s="1"/>
  <c r="T206" i="1" a="1"/>
  <c r="T206" i="1" s="1"/>
  <c r="W202" i="1" a="1"/>
  <c r="W202" i="1" s="1"/>
  <c r="M198" i="1" a="1"/>
  <c r="M198" i="1" s="1"/>
  <c r="R197" i="1" a="1"/>
  <c r="R197" i="1" s="1"/>
  <c r="R196" i="1" a="1"/>
  <c r="R196" i="1" s="1"/>
  <c r="Y192" i="1" a="1"/>
  <c r="Y192" i="1" s="1"/>
  <c r="V188" i="1" a="1"/>
  <c r="V188" i="1" s="1"/>
  <c r="W183" i="1" a="1"/>
  <c r="W183" i="1" s="1"/>
  <c r="P166" i="1" a="1"/>
  <c r="P166" i="1" s="1"/>
  <c r="Q164" i="1" a="1"/>
  <c r="Q164" i="1" s="1"/>
  <c r="P158" i="1" a="1"/>
  <c r="P158" i="1" s="1"/>
  <c r="T155" i="1" a="1"/>
  <c r="T155" i="1" s="1"/>
  <c r="R151" i="1" a="1"/>
  <c r="R151" i="1" s="1"/>
  <c r="P150" i="1" a="1"/>
  <c r="P150" i="1" s="1"/>
  <c r="R142" i="1" a="1"/>
  <c r="R142" i="1" s="1"/>
  <c r="Y135" i="1" a="1"/>
  <c r="Y135" i="1" s="1"/>
  <c r="Q135" i="1" a="1"/>
  <c r="Q135" i="1" s="1"/>
  <c r="U127" i="1" a="1"/>
  <c r="U127" i="1" s="1"/>
  <c r="N272" i="1" a="1"/>
  <c r="N272" i="1" s="1"/>
  <c r="T266" i="1" a="1"/>
  <c r="T266" i="1" s="1"/>
  <c r="N256" i="1" a="1"/>
  <c r="N256" i="1" s="1"/>
  <c r="M218" i="1" a="1"/>
  <c r="M218" i="1" s="1"/>
  <c r="R201" i="1" a="1"/>
  <c r="R201" i="1" s="1"/>
  <c r="N200" i="1" a="1"/>
  <c r="N200" i="1" s="1"/>
  <c r="N188" i="1" a="1"/>
  <c r="N188" i="1" s="1"/>
  <c r="Q168" i="1" a="1"/>
  <c r="Q168" i="1" s="1"/>
  <c r="T166" i="1" a="1"/>
  <c r="T166" i="1" s="1"/>
  <c r="W164" i="1" a="1"/>
  <c r="W164" i="1" s="1"/>
  <c r="L160" i="1" a="1"/>
  <c r="L160" i="1" s="1"/>
  <c r="O158" i="1" a="1"/>
  <c r="O158" i="1" s="1"/>
  <c r="Y151" i="1" a="1"/>
  <c r="Y151" i="1" s="1"/>
  <c r="M151" i="1" a="1"/>
  <c r="M151" i="1" s="1"/>
  <c r="U141" i="1" a="1"/>
  <c r="U141" i="1" s="1"/>
  <c r="N128" i="1" a="1"/>
  <c r="N128" i="1" s="1"/>
  <c r="T127" i="1" a="1"/>
  <c r="T127" i="1" s="1"/>
  <c r="U124" i="1" a="1"/>
  <c r="U124" i="1" s="1"/>
  <c r="M124" i="1" a="1"/>
  <c r="M124" i="1" s="1"/>
  <c r="R119" i="1" a="1"/>
  <c r="R119" i="1" s="1"/>
  <c r="M247" i="1" a="1"/>
  <c r="M247" i="1" s="1"/>
  <c r="V242" i="1" a="1"/>
  <c r="V242" i="1" s="1"/>
  <c r="O234" i="1" a="1"/>
  <c r="O234" i="1" s="1"/>
  <c r="R224" i="1" a="1"/>
  <c r="R224" i="1" s="1"/>
  <c r="W219" i="1" a="1"/>
  <c r="W219" i="1" s="1"/>
  <c r="R214" i="1" a="1"/>
  <c r="R214" i="1" s="1"/>
  <c r="V202" i="1" a="1"/>
  <c r="V202" i="1" s="1"/>
  <c r="M200" i="1" a="1"/>
  <c r="M200" i="1" s="1"/>
  <c r="T192" i="1" a="1"/>
  <c r="T192" i="1" s="1"/>
  <c r="N189" i="1" a="1"/>
  <c r="N189" i="1" s="1"/>
  <c r="X185" i="1" a="1"/>
  <c r="X185" i="1" s="1"/>
  <c r="U183" i="1" a="1"/>
  <c r="U183" i="1" s="1"/>
  <c r="T182" i="1" a="1"/>
  <c r="T182" i="1" s="1"/>
  <c r="O155" i="1" a="1"/>
  <c r="O155" i="1" s="1"/>
  <c r="P154" i="1" a="1"/>
  <c r="P154" i="1" s="1"/>
  <c r="O150" i="1" a="1"/>
  <c r="O150" i="1" s="1"/>
  <c r="O135" i="1" a="1"/>
  <c r="O135" i="1" s="1"/>
  <c r="W128" i="1" a="1"/>
  <c r="W128" i="1" s="1"/>
  <c r="S127" i="1" a="1"/>
  <c r="S127" i="1" s="1"/>
  <c r="Q120" i="1" a="1"/>
  <c r="Q120" i="1" s="1"/>
  <c r="Y119" i="1" a="1"/>
  <c r="Y119" i="1" s="1"/>
  <c r="Q119" i="1" a="1"/>
  <c r="Q119" i="1" s="1"/>
  <c r="V90" i="1" a="1"/>
  <c r="V90" i="1" s="1"/>
  <c r="P90" i="1" a="1"/>
  <c r="P90" i="1" s="1"/>
  <c r="S240" i="1" a="1"/>
  <c r="S240" i="1" s="1"/>
  <c r="U219" i="1" a="1"/>
  <c r="U219" i="1" s="1"/>
  <c r="S202" i="1" a="1"/>
  <c r="S202" i="1" s="1"/>
  <c r="Q201" i="1" a="1"/>
  <c r="Q201" i="1" s="1"/>
  <c r="W191" i="1" a="1"/>
  <c r="W191" i="1" s="1"/>
  <c r="L189" i="1" a="1"/>
  <c r="L189" i="1" s="1"/>
  <c r="N166" i="1" a="1"/>
  <c r="N166" i="1" s="1"/>
  <c r="R164" i="1" a="1"/>
  <c r="R164" i="1" s="1"/>
  <c r="Y160" i="1" a="1"/>
  <c r="Y160" i="1" s="1"/>
  <c r="N158" i="1" a="1"/>
  <c r="N158" i="1" s="1"/>
  <c r="X151" i="1" a="1"/>
  <c r="X151" i="1" s="1"/>
  <c r="X142" i="1" a="1"/>
  <c r="X142" i="1" s="1"/>
  <c r="R141" i="1" a="1"/>
  <c r="R141" i="1" s="1"/>
  <c r="T124" i="1" a="1"/>
  <c r="T124" i="1" s="1"/>
  <c r="X120" i="1" a="1"/>
  <c r="X120" i="1" s="1"/>
  <c r="P119" i="1" a="1"/>
  <c r="P119" i="1" s="1"/>
  <c r="U85" i="1" a="1"/>
  <c r="U85" i="1" s="1"/>
  <c r="O85" i="1" a="1"/>
  <c r="O85" i="1" s="1"/>
  <c r="X262" i="1" a="1"/>
  <c r="X262" i="1" s="1"/>
  <c r="Q224" i="1" a="1"/>
  <c r="Q224" i="1" s="1"/>
  <c r="Q220" i="1" a="1"/>
  <c r="Q220" i="1" s="1"/>
  <c r="Y198" i="1" a="1"/>
  <c r="Y198" i="1" s="1"/>
  <c r="P196" i="1" a="1"/>
  <c r="P196" i="1" s="1"/>
  <c r="W185" i="1" a="1"/>
  <c r="W185" i="1" s="1"/>
  <c r="Q183" i="1" a="1"/>
  <c r="Q183" i="1" s="1"/>
  <c r="Q182" i="1" a="1"/>
  <c r="Q182" i="1" s="1"/>
  <c r="Y170" i="1" a="1"/>
  <c r="Y170" i="1" s="1"/>
  <c r="M168" i="1" a="1"/>
  <c r="M168" i="1" s="1"/>
  <c r="X273" i="1" a="1"/>
  <c r="X273" i="1" s="1"/>
  <c r="N260" i="1" a="1"/>
  <c r="N260" i="1" s="1"/>
  <c r="Q253" i="1" a="1"/>
  <c r="Q253" i="1" s="1"/>
  <c r="R240" i="1" a="1"/>
  <c r="R240" i="1" s="1"/>
  <c r="W235" i="1" a="1"/>
  <c r="W235" i="1" s="1"/>
  <c r="N222" i="1" a="1"/>
  <c r="N222" i="1" s="1"/>
  <c r="P220" i="1" a="1"/>
  <c r="P220" i="1" s="1"/>
  <c r="Y215" i="1" a="1"/>
  <c r="Y215" i="1" s="1"/>
  <c r="P206" i="1" a="1"/>
  <c r="P206" i="1" s="1"/>
  <c r="P202" i="1" a="1"/>
  <c r="P202" i="1" s="1"/>
  <c r="R192" i="1" a="1"/>
  <c r="R192" i="1" s="1"/>
  <c r="X187" i="1" a="1"/>
  <c r="X187" i="1" s="1"/>
  <c r="Q185" i="1" a="1"/>
  <c r="Q185" i="1" s="1"/>
  <c r="L168" i="1" a="1"/>
  <c r="L168" i="1" s="1"/>
  <c r="M166" i="1" a="1"/>
  <c r="M166" i="1" s="1"/>
  <c r="W262" i="1" a="1"/>
  <c r="W262" i="1" s="1"/>
  <c r="T246" i="1" a="1"/>
  <c r="T246" i="1" s="1"/>
  <c r="O220" i="1" a="1"/>
  <c r="O220" i="1" s="1"/>
  <c r="O206" i="1" a="1"/>
  <c r="O206" i="1" s="1"/>
  <c r="X199" i="1" a="1"/>
  <c r="X199" i="1" s="1"/>
  <c r="X198" i="1" a="1"/>
  <c r="X198" i="1" s="1"/>
  <c r="O191" i="1" a="1"/>
  <c r="O191" i="1" s="1"/>
  <c r="W187" i="1" a="1"/>
  <c r="W187" i="1" s="1"/>
  <c r="P185" i="1" a="1"/>
  <c r="P185" i="1" s="1"/>
  <c r="N183" i="1" a="1"/>
  <c r="N183" i="1" s="1"/>
  <c r="N182" i="1" a="1"/>
  <c r="N182" i="1" s="1"/>
  <c r="N154" i="1" a="1"/>
  <c r="N154" i="1" s="1"/>
  <c r="U151" i="1" a="1"/>
  <c r="U151" i="1" s="1"/>
  <c r="W150" i="1" a="1"/>
  <c r="W150" i="1" s="1"/>
  <c r="V142" i="1" a="1"/>
  <c r="V142" i="1" s="1"/>
  <c r="R137" i="1" a="1"/>
  <c r="R137" i="1" s="1"/>
  <c r="M135" i="1" a="1"/>
  <c r="M135" i="1" s="1"/>
  <c r="T128" i="1" a="1"/>
  <c r="T128" i="1" s="1"/>
  <c r="Q127" i="1" a="1"/>
  <c r="Q127" i="1" s="1"/>
  <c r="V109" i="1" a="1"/>
  <c r="V109" i="1" s="1"/>
  <c r="O109" i="1" a="1"/>
  <c r="O109" i="1" s="1"/>
  <c r="U105" i="1" a="1"/>
  <c r="U105" i="1" s="1"/>
  <c r="N105" i="1" a="1"/>
  <c r="N105" i="1" s="1"/>
  <c r="T90" i="1" a="1"/>
  <c r="T90" i="1" s="1"/>
  <c r="N90" i="1" a="1"/>
  <c r="N90" i="1" s="1"/>
  <c r="R261" i="1" a="1"/>
  <c r="R261" i="1" s="1"/>
  <c r="W198" i="1" a="1"/>
  <c r="W198" i="1" s="1"/>
  <c r="V186" i="1" a="1"/>
  <c r="V186" i="1" s="1"/>
  <c r="O171" i="1" a="1"/>
  <c r="O171" i="1" s="1"/>
  <c r="X168" i="1" a="1"/>
  <c r="X168" i="1" s="1"/>
  <c r="M160" i="1" a="1"/>
  <c r="M160" i="1" s="1"/>
  <c r="Q151" i="1" a="1"/>
  <c r="Q151" i="1" s="1"/>
  <c r="M127" i="1" a="1"/>
  <c r="M127" i="1" s="1"/>
  <c r="Y124" i="1" a="1"/>
  <c r="Y124" i="1" s="1"/>
  <c r="R120" i="1" a="1"/>
  <c r="R120" i="1" s="1"/>
  <c r="U119" i="1" a="1"/>
  <c r="U119" i="1" s="1"/>
  <c r="L119" i="1" a="1"/>
  <c r="L119" i="1" s="1"/>
  <c r="T105" i="1" a="1"/>
  <c r="T105" i="1" s="1"/>
  <c r="V101" i="1" a="1"/>
  <c r="V101" i="1" s="1"/>
  <c r="L90" i="1" a="1"/>
  <c r="L90" i="1" s="1"/>
  <c r="M85" i="1" a="1"/>
  <c r="M85" i="1" s="1"/>
  <c r="M83" i="1" a="1"/>
  <c r="M83" i="1" s="1"/>
  <c r="Y191" i="1" a="1"/>
  <c r="Y191" i="1" s="1"/>
  <c r="U186" i="1" a="1"/>
  <c r="U186" i="1" s="1"/>
  <c r="Q174" i="1" a="1"/>
  <c r="Q174" i="1" s="1"/>
  <c r="O151" i="1" a="1"/>
  <c r="O151" i="1" s="1"/>
  <c r="Y141" i="1" a="1"/>
  <c r="Y141" i="1" s="1"/>
  <c r="Q137" i="1" a="1"/>
  <c r="Q137" i="1" s="1"/>
  <c r="N135" i="1" a="1"/>
  <c r="N135" i="1" s="1"/>
  <c r="R132" i="1" a="1"/>
  <c r="R132" i="1" s="1"/>
  <c r="Y128" i="1" a="1"/>
  <c r="Y128" i="1" s="1"/>
  <c r="T122" i="1" a="1"/>
  <c r="T122" i="1" s="1"/>
  <c r="P120" i="1" a="1"/>
  <c r="P120" i="1" s="1"/>
  <c r="Q118" i="1" a="1"/>
  <c r="Q118" i="1" s="1"/>
  <c r="L109" i="1" a="1"/>
  <c r="L109" i="1" s="1"/>
  <c r="U107" i="1" a="1"/>
  <c r="U107" i="1" s="1"/>
  <c r="V102" i="1" a="1"/>
  <c r="V102" i="1" s="1"/>
  <c r="L102" i="1" a="1"/>
  <c r="L102" i="1" s="1"/>
  <c r="T85" i="1" a="1"/>
  <c r="T85" i="1" s="1"/>
  <c r="T83" i="1" a="1"/>
  <c r="T83" i="1" s="1"/>
  <c r="O7" i="1" a="1"/>
  <c r="O7" i="1" s="1"/>
  <c r="R221" i="1" a="1"/>
  <c r="R221" i="1" s="1"/>
  <c r="S214" i="1" a="1"/>
  <c r="S214" i="1" s="1"/>
  <c r="V198" i="1" a="1"/>
  <c r="V198" i="1" s="1"/>
  <c r="N191" i="1" a="1"/>
  <c r="N191" i="1" s="1"/>
  <c r="T187" i="1" a="1"/>
  <c r="T187" i="1" s="1"/>
  <c r="Q186" i="1" a="1"/>
  <c r="Q186" i="1" s="1"/>
  <c r="M182" i="1" a="1"/>
  <c r="M182" i="1" s="1"/>
  <c r="P174" i="1" a="1"/>
  <c r="P174" i="1" s="1"/>
  <c r="W158" i="1" a="1"/>
  <c r="W158" i="1" s="1"/>
  <c r="S157" i="1" a="1"/>
  <c r="S157" i="1" s="1"/>
  <c r="L150" i="1" a="1"/>
  <c r="L150" i="1" s="1"/>
  <c r="Q142" i="1" a="1"/>
  <c r="Q142" i="1" s="1"/>
  <c r="X128" i="1" a="1"/>
  <c r="X128" i="1" s="1"/>
  <c r="Y127" i="1" a="1"/>
  <c r="Y127" i="1" s="1"/>
  <c r="L127" i="1" a="1"/>
  <c r="L127" i="1" s="1"/>
  <c r="V124" i="1" a="1"/>
  <c r="V124" i="1" s="1"/>
  <c r="T119" i="1" a="1"/>
  <c r="T119" i="1" s="1"/>
  <c r="P118" i="1" a="1"/>
  <c r="P118" i="1" s="1"/>
  <c r="U109" i="1" a="1"/>
  <c r="U109" i="1" s="1"/>
  <c r="S107" i="1" a="1"/>
  <c r="S107" i="1" s="1"/>
  <c r="S105" i="1" a="1"/>
  <c r="S105" i="1" s="1"/>
  <c r="U102" i="1" a="1"/>
  <c r="U102" i="1" s="1"/>
  <c r="U101" i="1" a="1"/>
  <c r="U101" i="1" s="1"/>
  <c r="P98" i="1" a="1"/>
  <c r="P98" i="1" s="1"/>
  <c r="S90" i="1" a="1"/>
  <c r="S90" i="1" s="1"/>
  <c r="L85" i="1" a="1"/>
  <c r="L85" i="1" s="1"/>
  <c r="L83" i="1" a="1"/>
  <c r="L83" i="1" s="1"/>
  <c r="V62" i="1" a="1"/>
  <c r="V62" i="1" s="1"/>
  <c r="W15" i="1" a="1"/>
  <c r="W15" i="1" s="1"/>
  <c r="Q15" i="1" a="1"/>
  <c r="Q15" i="1" s="1"/>
  <c r="U7" i="1" a="1"/>
  <c r="U7" i="1" s="1"/>
  <c r="U273" i="1" a="1"/>
  <c r="U273" i="1" s="1"/>
  <c r="P257" i="1" a="1"/>
  <c r="P257" i="1" s="1"/>
  <c r="N247" i="1" a="1"/>
  <c r="N247" i="1" s="1"/>
  <c r="U201" i="1" a="1"/>
  <c r="U201" i="1" s="1"/>
  <c r="R198" i="1" a="1"/>
  <c r="R198" i="1" s="1"/>
  <c r="L191" i="1" a="1"/>
  <c r="L191" i="1" s="1"/>
  <c r="S187" i="1" a="1"/>
  <c r="S187" i="1" s="1"/>
  <c r="X169" i="1" a="1"/>
  <c r="X169" i="1" s="1"/>
  <c r="R168" i="1" a="1"/>
  <c r="R168" i="1" s="1"/>
  <c r="W166" i="1" a="1"/>
  <c r="W166" i="1" s="1"/>
  <c r="R157" i="1" a="1"/>
  <c r="R157" i="1" s="1"/>
  <c r="X154" i="1" a="1"/>
  <c r="X154" i="1" s="1"/>
  <c r="X141" i="1" a="1"/>
  <c r="X141" i="1" s="1"/>
  <c r="P137" i="1" a="1"/>
  <c r="P137" i="1" s="1"/>
  <c r="Q132" i="1" a="1"/>
  <c r="Q132" i="1" s="1"/>
  <c r="S254" i="1" a="1"/>
  <c r="S254" i="1" s="1"/>
  <c r="T201" i="1" a="1"/>
  <c r="T201" i="1" s="1"/>
  <c r="U199" i="1" a="1"/>
  <c r="U199" i="1" s="1"/>
  <c r="L198" i="1" a="1"/>
  <c r="L198" i="1" s="1"/>
  <c r="V169" i="1" a="1"/>
  <c r="V169" i="1" s="1"/>
  <c r="V166" i="1" a="1"/>
  <c r="V166" i="1" s="1"/>
  <c r="V158" i="1" a="1"/>
  <c r="V158" i="1" s="1"/>
  <c r="W154" i="1" a="1"/>
  <c r="W154" i="1" s="1"/>
  <c r="P142" i="1" a="1"/>
  <c r="P142" i="1" s="1"/>
  <c r="L137" i="1" a="1"/>
  <c r="L137" i="1" s="1"/>
  <c r="L135" i="1" a="1"/>
  <c r="L135" i="1" s="1"/>
  <c r="X127" i="1" a="1"/>
  <c r="X127" i="1" s="1"/>
  <c r="S119" i="1" a="1"/>
  <c r="S119" i="1" s="1"/>
  <c r="T109" i="1" a="1"/>
  <c r="T109" i="1" s="1"/>
  <c r="R105" i="1" a="1"/>
  <c r="R105" i="1" s="1"/>
  <c r="T102" i="1" a="1"/>
  <c r="T102" i="1" s="1"/>
  <c r="R101" i="1" a="1"/>
  <c r="R101" i="1" s="1"/>
  <c r="N98" i="1" a="1"/>
  <c r="N98" i="1" s="1"/>
  <c r="R90" i="1" a="1"/>
  <c r="R90" i="1" s="1"/>
  <c r="X89" i="1" a="1"/>
  <c r="X89" i="1" s="1"/>
  <c r="U62" i="1" a="1"/>
  <c r="U62" i="1" s="1"/>
  <c r="U53" i="1" a="1"/>
  <c r="U53" i="1" s="1"/>
  <c r="O48" i="1" a="1"/>
  <c r="O48" i="1" s="1"/>
  <c r="V15" i="1" a="1"/>
  <c r="V15" i="1" s="1"/>
  <c r="P15" i="1" a="1"/>
  <c r="P15" i="1" s="1"/>
  <c r="U13" i="1" a="1"/>
  <c r="U13" i="1" s="1"/>
  <c r="O13" i="1" a="1"/>
  <c r="O13" i="1" s="1"/>
  <c r="V278" i="1" a="1"/>
  <c r="V278" i="1" s="1"/>
  <c r="N218" i="1" a="1"/>
  <c r="N218" i="1" s="1"/>
  <c r="M207" i="1" a="1"/>
  <c r="M207" i="1" s="1"/>
  <c r="R187" i="1" a="1"/>
  <c r="R187" i="1" s="1"/>
  <c r="N185" i="1" a="1"/>
  <c r="N185" i="1" s="1"/>
  <c r="Y182" i="1" a="1"/>
  <c r="Y182" i="1" s="1"/>
  <c r="V154" i="1" a="1"/>
  <c r="V154" i="1" s="1"/>
  <c r="O141" i="1" a="1"/>
  <c r="O141" i="1" s="1"/>
  <c r="W135" i="1" a="1"/>
  <c r="W135" i="1" s="1"/>
  <c r="P132" i="1" a="1"/>
  <c r="P132" i="1" s="1"/>
  <c r="P128" i="1" a="1"/>
  <c r="P128" i="1" s="1"/>
  <c r="O127" i="1" a="1"/>
  <c r="O127" i="1" s="1"/>
  <c r="N118" i="1" a="1"/>
  <c r="N118" i="1" s="1"/>
  <c r="W109" i="1" a="1"/>
  <c r="W109" i="1" s="1"/>
  <c r="V105" i="1" a="1"/>
  <c r="V105" i="1" s="1"/>
  <c r="X101" i="1" a="1"/>
  <c r="X101" i="1" s="1"/>
  <c r="U98" i="1" a="1"/>
  <c r="U98" i="1" s="1"/>
  <c r="Y90" i="1" a="1"/>
  <c r="Y90" i="1" s="1"/>
  <c r="M90" i="1" a="1"/>
  <c r="M90" i="1" s="1"/>
  <c r="O89" i="1" a="1"/>
  <c r="O89" i="1" s="1"/>
  <c r="O83" i="1" a="1"/>
  <c r="O83" i="1" s="1"/>
  <c r="P59" i="1" a="1"/>
  <c r="P59" i="1" s="1"/>
  <c r="T50" i="1" a="1"/>
  <c r="T50" i="1" s="1"/>
  <c r="S13" i="1" a="1"/>
  <c r="S13" i="1" s="1"/>
  <c r="L10" i="1" a="1"/>
  <c r="L10" i="1" s="1"/>
  <c r="M7" i="1" a="1"/>
  <c r="M7" i="1" s="1"/>
  <c r="R28" i="1" a="1"/>
  <c r="R28" i="1" s="1"/>
  <c r="Y15" i="1" a="1"/>
  <c r="Y15" i="1" s="1"/>
  <c r="S10" i="1" a="1"/>
  <c r="S10" i="1" s="1"/>
  <c r="T7" i="1" a="1"/>
  <c r="T7" i="1" s="1"/>
  <c r="L7" i="1" a="1"/>
  <c r="L7" i="1" s="1"/>
  <c r="U150" i="1" a="1"/>
  <c r="U150" i="1" s="1"/>
  <c r="W120" i="1" a="1"/>
  <c r="W120" i="1" s="1"/>
  <c r="O102" i="1" a="1"/>
  <c r="O102" i="1" s="1"/>
  <c r="R98" i="1" a="1"/>
  <c r="R98" i="1" s="1"/>
  <c r="S88" i="1" a="1"/>
  <c r="S88" i="1" s="1"/>
  <c r="R53" i="1" a="1"/>
  <c r="R53" i="1" s="1"/>
  <c r="V48" i="1" a="1"/>
  <c r="V48" i="1" s="1"/>
  <c r="Y28" i="1" a="1"/>
  <c r="Y28" i="1" s="1"/>
  <c r="R10" i="1" a="1"/>
  <c r="R10" i="1" s="1"/>
  <c r="M62" i="1" a="1"/>
  <c r="M62" i="1" s="1"/>
  <c r="Y49" i="1" a="1"/>
  <c r="Y49" i="1" s="1"/>
  <c r="U48" i="1" a="1"/>
  <c r="U48" i="1" s="1"/>
  <c r="R223" i="1" a="1"/>
  <c r="R223" i="1" s="1"/>
  <c r="U215" i="1" a="1"/>
  <c r="U215" i="1" s="1"/>
  <c r="T213" i="1" a="1"/>
  <c r="T213" i="1" s="1"/>
  <c r="L202" i="1" a="1"/>
  <c r="L202" i="1" s="1"/>
  <c r="M197" i="1" a="1"/>
  <c r="M197" i="1" s="1"/>
  <c r="O192" i="1" a="1"/>
  <c r="O192" i="1" s="1"/>
  <c r="S189" i="1" a="1"/>
  <c r="S189" i="1" s="1"/>
  <c r="T167" i="1" a="1"/>
  <c r="T167" i="1" s="1"/>
  <c r="R154" i="1" a="1"/>
  <c r="R154" i="1" s="1"/>
  <c r="V150" i="1" a="1"/>
  <c r="V150" i="1" s="1"/>
  <c r="W142" i="1" a="1"/>
  <c r="W142" i="1" s="1"/>
  <c r="U135" i="1" a="1"/>
  <c r="U135" i="1" s="1"/>
  <c r="O128" i="1" a="1"/>
  <c r="O128" i="1" s="1"/>
  <c r="N127" i="1" a="1"/>
  <c r="N127" i="1" s="1"/>
  <c r="R102" i="1" a="1"/>
  <c r="R102" i="1" s="1"/>
  <c r="W101" i="1" a="1"/>
  <c r="W101" i="1" s="1"/>
  <c r="T88" i="1" a="1"/>
  <c r="T88" i="1" s="1"/>
  <c r="W87" i="1" a="1"/>
  <c r="W87" i="1" s="1"/>
  <c r="Q85" i="1" a="1"/>
  <c r="Q85" i="1" s="1"/>
  <c r="O62" i="1" a="1"/>
  <c r="O62" i="1" s="1"/>
  <c r="O59" i="1" a="1"/>
  <c r="O59" i="1" s="1"/>
  <c r="S53" i="1" a="1"/>
  <c r="S53" i="1" s="1"/>
  <c r="R49" i="1" a="1"/>
  <c r="R49" i="1" s="1"/>
  <c r="Y48" i="1" a="1"/>
  <c r="Y48" i="1" s="1"/>
  <c r="N48" i="1" a="1"/>
  <c r="N48" i="1" s="1"/>
  <c r="R46" i="1" a="1"/>
  <c r="R46" i="1" s="1"/>
  <c r="O15" i="1" a="1"/>
  <c r="O15" i="1" s="1"/>
  <c r="O167" i="1" a="1"/>
  <c r="O167" i="1" s="1"/>
  <c r="N59" i="1" a="1"/>
  <c r="N59" i="1" s="1"/>
  <c r="V54" i="1" a="1"/>
  <c r="V54" i="1" s="1"/>
  <c r="Q46" i="1" a="1"/>
  <c r="Q46" i="1" s="1"/>
  <c r="Q28" i="1" a="1"/>
  <c r="Q28" i="1" s="1"/>
  <c r="T8" i="1" a="1"/>
  <c r="T8" i="1" s="1"/>
  <c r="T6" i="1" a="1"/>
  <c r="T6" i="1" s="1"/>
  <c r="X62" i="1" a="1"/>
  <c r="X62" i="1" s="1"/>
  <c r="P50" i="1" a="1"/>
  <c r="P50" i="1" s="1"/>
  <c r="L197" i="1" a="1"/>
  <c r="L197" i="1" s="1"/>
  <c r="U159" i="1" a="1"/>
  <c r="U159" i="1" s="1"/>
  <c r="O154" i="1" a="1"/>
  <c r="O154" i="1" s="1"/>
  <c r="O129" i="1" a="1"/>
  <c r="O129" i="1" s="1"/>
  <c r="X122" i="1" a="1"/>
  <c r="X122" i="1" s="1"/>
  <c r="M118" i="1" a="1"/>
  <c r="M118" i="1" s="1"/>
  <c r="S109" i="1" a="1"/>
  <c r="S109" i="1" s="1"/>
  <c r="T98" i="1" a="1"/>
  <c r="T98" i="1" s="1"/>
  <c r="X90" i="1" a="1"/>
  <c r="X90" i="1" s="1"/>
  <c r="N89" i="1" a="1"/>
  <c r="N89" i="1" s="1"/>
  <c r="Y83" i="1" a="1"/>
  <c r="Y83" i="1" s="1"/>
  <c r="N83" i="1" a="1"/>
  <c r="N83" i="1" s="1"/>
  <c r="Y62" i="1" a="1"/>
  <c r="Y62" i="1" s="1"/>
  <c r="N62" i="1" a="1"/>
  <c r="N62" i="1" s="1"/>
  <c r="S50" i="1" a="1"/>
  <c r="S50" i="1" s="1"/>
  <c r="R13" i="1" a="1"/>
  <c r="R13" i="1" s="1"/>
  <c r="Y269" i="1" a="1"/>
  <c r="Y269" i="1" s="1"/>
  <c r="U155" i="1" a="1"/>
  <c r="U155" i="1" s="1"/>
  <c r="O142" i="1" a="1"/>
  <c r="O142" i="1" s="1"/>
  <c r="X123" i="1" a="1"/>
  <c r="X123" i="1" s="1"/>
  <c r="W100" i="1" a="1"/>
  <c r="W100" i="1" s="1"/>
  <c r="L89" i="1" a="1"/>
  <c r="L89" i="1" s="1"/>
  <c r="T84" i="1" a="1"/>
  <c r="T84" i="1" s="1"/>
  <c r="Q63" i="1" a="1"/>
  <c r="Q63" i="1" s="1"/>
  <c r="V58" i="1" a="1"/>
  <c r="V58" i="1" s="1"/>
  <c r="Q49" i="1" a="1"/>
  <c r="Q49" i="1" s="1"/>
  <c r="M48" i="1" a="1"/>
  <c r="M48" i="1" s="1"/>
  <c r="S7" i="1" a="1"/>
  <c r="S7" i="1" s="1"/>
  <c r="Q53" i="1" a="1"/>
  <c r="Q53" i="1" s="1"/>
  <c r="Y258" i="1" a="1"/>
  <c r="Y258" i="1" s="1"/>
  <c r="V170" i="1" a="1"/>
  <c r="V170" i="1" s="1"/>
  <c r="S169" i="1" a="1"/>
  <c r="S169" i="1" s="1"/>
  <c r="Y164" i="1" a="1"/>
  <c r="Y164" i="1" s="1"/>
  <c r="W160" i="1" a="1"/>
  <c r="W160" i="1" s="1"/>
  <c r="Y125" i="1" a="1"/>
  <c r="Y125" i="1" s="1"/>
  <c r="S124" i="1" a="1"/>
  <c r="S124" i="1" s="1"/>
  <c r="W122" i="1" a="1"/>
  <c r="W122" i="1" s="1"/>
  <c r="V120" i="1" a="1"/>
  <c r="V120" i="1" s="1"/>
  <c r="V119" i="1" a="1"/>
  <c r="V119" i="1" s="1"/>
  <c r="X118" i="1" a="1"/>
  <c r="X118" i="1" s="1"/>
  <c r="P109" i="1" a="1"/>
  <c r="P109" i="1" s="1"/>
  <c r="X107" i="1" a="1"/>
  <c r="X107" i="1" s="1"/>
  <c r="N102" i="1" a="1"/>
  <c r="N102" i="1" s="1"/>
  <c r="V100" i="1" a="1"/>
  <c r="V100" i="1" s="1"/>
  <c r="W90" i="1" a="1"/>
  <c r="W90" i="1" s="1"/>
  <c r="W86" i="1" a="1"/>
  <c r="W86" i="1" s="1"/>
  <c r="Y85" i="1" a="1"/>
  <c r="Y85" i="1" s="1"/>
  <c r="N85" i="1" a="1"/>
  <c r="N85" i="1" s="1"/>
  <c r="X83" i="1" a="1"/>
  <c r="X83" i="1" s="1"/>
  <c r="T278" i="1" a="1"/>
  <c r="T278" i="1" s="1"/>
  <c r="M217" i="1" a="1"/>
  <c r="M217" i="1" s="1"/>
  <c r="Q199" i="1" a="1"/>
  <c r="Q199" i="1" s="1"/>
  <c r="X164" i="1" a="1"/>
  <c r="X164" i="1" s="1"/>
  <c r="Q159" i="1" a="1"/>
  <c r="Q159" i="1" s="1"/>
  <c r="S155" i="1" a="1"/>
  <c r="S155" i="1" s="1"/>
  <c r="P124" i="1" a="1"/>
  <c r="P124" i="1" s="1"/>
  <c r="U122" i="1" a="1"/>
  <c r="U122" i="1" s="1"/>
  <c r="T121" i="1" a="1"/>
  <c r="T121" i="1" s="1"/>
  <c r="W118" i="1" a="1"/>
  <c r="W118" i="1" s="1"/>
  <c r="W107" i="1" a="1"/>
  <c r="W107" i="1" s="1"/>
  <c r="P101" i="1" a="1"/>
  <c r="P101" i="1" s="1"/>
  <c r="U90" i="1" a="1"/>
  <c r="U90" i="1" s="1"/>
  <c r="S87" i="1" a="1"/>
  <c r="S87" i="1" s="1"/>
  <c r="V59" i="1" a="1"/>
  <c r="V59" i="1" s="1"/>
  <c r="M59" i="1" a="1"/>
  <c r="M59" i="1" s="1"/>
  <c r="O53" i="1" a="1"/>
  <c r="O53" i="1" s="1"/>
  <c r="O50" i="1" a="1"/>
  <c r="O50" i="1" s="1"/>
  <c r="P49" i="1" a="1"/>
  <c r="P49" i="1" s="1"/>
  <c r="P46" i="1" a="1"/>
  <c r="P46" i="1" s="1"/>
  <c r="P29" i="1" a="1"/>
  <c r="P29" i="1" s="1"/>
  <c r="X28" i="1" a="1"/>
  <c r="X28" i="1" s="1"/>
  <c r="N28" i="1" a="1"/>
  <c r="N28" i="1" s="1"/>
  <c r="U15" i="1" a="1"/>
  <c r="U15" i="1" s="1"/>
  <c r="Q10" i="1" a="1"/>
  <c r="Q10" i="1" s="1"/>
  <c r="R7" i="1" a="1"/>
  <c r="R7" i="1" s="1"/>
  <c r="X219" i="1" a="1"/>
  <c r="X219" i="1" s="1"/>
  <c r="P199" i="1" a="1"/>
  <c r="P199" i="1" s="1"/>
  <c r="U170" i="1" a="1"/>
  <c r="U170" i="1" s="1"/>
  <c r="T160" i="1" a="1"/>
  <c r="T160" i="1" s="1"/>
  <c r="P159" i="1" a="1"/>
  <c r="P159" i="1" s="1"/>
  <c r="W151" i="1" a="1"/>
  <c r="W151" i="1" s="1"/>
  <c r="X134" i="1" a="1"/>
  <c r="X134" i="1" s="1"/>
  <c r="X126" i="1" a="1"/>
  <c r="X126" i="1" s="1"/>
  <c r="Q122" i="1" a="1"/>
  <c r="Q122" i="1" s="1"/>
  <c r="V107" i="1" a="1"/>
  <c r="V107" i="1" s="1"/>
  <c r="M105" i="1" a="1"/>
  <c r="M105" i="1" s="1"/>
  <c r="S100" i="1" a="1"/>
  <c r="S100" i="1" s="1"/>
  <c r="M98" i="1" a="1"/>
  <c r="M98" i="1" s="1"/>
  <c r="V89" i="1" a="1"/>
  <c r="V89" i="1" s="1"/>
  <c r="R87" i="1" a="1"/>
  <c r="R87" i="1" s="1"/>
  <c r="X85" i="1" a="1"/>
  <c r="X85" i="1" s="1"/>
  <c r="Q82" i="1" a="1"/>
  <c r="Q82" i="1" s="1"/>
  <c r="X63" i="1" a="1"/>
  <c r="X63" i="1" s="1"/>
  <c r="L62" i="1" a="1"/>
  <c r="L62" i="1" s="1"/>
  <c r="U59" i="1" a="1"/>
  <c r="U59" i="1" s="1"/>
  <c r="T200" i="1" a="1"/>
  <c r="T200" i="1" s="1"/>
  <c r="R155" i="1" a="1"/>
  <c r="R155" i="1" s="1"/>
  <c r="Q141" i="1" a="1"/>
  <c r="Q141" i="1" s="1"/>
  <c r="N109" i="1" a="1"/>
  <c r="N109" i="1" s="1"/>
  <c r="W105" i="1" a="1"/>
  <c r="W105" i="1" s="1"/>
  <c r="N101" i="1" a="1"/>
  <c r="N101" i="1" s="1"/>
  <c r="P84" i="1" a="1"/>
  <c r="P84" i="1" s="1"/>
  <c r="N68" i="1" a="1"/>
  <c r="N68" i="1" s="1"/>
  <c r="S62" i="1" a="1"/>
  <c r="S62" i="1" s="1"/>
  <c r="L49" i="1" a="1"/>
  <c r="L49" i="1" s="1"/>
  <c r="O33" i="1" a="1"/>
  <c r="O33" i="1" s="1"/>
  <c r="W28" i="1" a="1"/>
  <c r="W28" i="1" s="1"/>
  <c r="O22" i="1" a="1"/>
  <c r="O22" i="1" s="1"/>
  <c r="X14" i="1" a="1"/>
  <c r="X14" i="1" s="1"/>
  <c r="M13" i="1" a="1"/>
  <c r="M13" i="1" s="1"/>
  <c r="W11" i="1" a="1"/>
  <c r="W11" i="1" s="1"/>
  <c r="M11" i="1" a="1"/>
  <c r="M11" i="1" s="1"/>
  <c r="O10" i="1" a="1"/>
  <c r="O10" i="1" s="1"/>
  <c r="O8" i="1" a="1"/>
  <c r="O8" i="1" s="1"/>
  <c r="W14" i="1" a="1"/>
  <c r="W14" i="1" s="1"/>
  <c r="Q7" i="1" a="1"/>
  <c r="Q7" i="1" s="1"/>
  <c r="V6" i="1" a="1"/>
  <c r="V6" i="1" s="1"/>
  <c r="T15" i="1" a="1"/>
  <c r="T15" i="1" s="1"/>
  <c r="N10" i="1" a="1"/>
  <c r="N10" i="1" s="1"/>
  <c r="R6" i="1" a="1"/>
  <c r="R6" i="1" s="1"/>
  <c r="Y132" i="1" a="1"/>
  <c r="Y132" i="1" s="1"/>
  <c r="W47" i="1" a="1"/>
  <c r="W47" i="1" s="1"/>
  <c r="Q44" i="1" a="1"/>
  <c r="Q44" i="1" s="1"/>
  <c r="N29" i="1" a="1"/>
  <c r="N29" i="1" s="1"/>
  <c r="N7" i="1" a="1"/>
  <c r="N7" i="1" s="1"/>
  <c r="V118" i="1" a="1"/>
  <c r="V118" i="1" s="1"/>
  <c r="S85" i="1" a="1"/>
  <c r="S85" i="1" s="1"/>
  <c r="T48" i="1" a="1"/>
  <c r="T48" i="1" s="1"/>
  <c r="Q240" i="1" a="1"/>
  <c r="Q240" i="1" s="1"/>
  <c r="S160" i="1" a="1"/>
  <c r="S160" i="1" s="1"/>
  <c r="L155" i="1" a="1"/>
  <c r="L155" i="1" s="1"/>
  <c r="U128" i="1" a="1"/>
  <c r="U128" i="1" s="1"/>
  <c r="L122" i="1" a="1"/>
  <c r="L122" i="1" s="1"/>
  <c r="S120" i="1" a="1"/>
  <c r="S120" i="1" s="1"/>
  <c r="M119" i="1" a="1"/>
  <c r="M119" i="1" s="1"/>
  <c r="L87" i="1" a="1"/>
  <c r="L87" i="1" s="1"/>
  <c r="M68" i="1" a="1"/>
  <c r="M68" i="1" s="1"/>
  <c r="V63" i="1" a="1"/>
  <c r="V63" i="1" s="1"/>
  <c r="Y53" i="1" a="1"/>
  <c r="Y53" i="1" s="1"/>
  <c r="Y50" i="1" a="1"/>
  <c r="Y50" i="1" s="1"/>
  <c r="X44" i="1" a="1"/>
  <c r="X44" i="1" s="1"/>
  <c r="U28" i="1" a="1"/>
  <c r="U28" i="1" s="1"/>
  <c r="V11" i="1" a="1"/>
  <c r="V11" i="1" s="1"/>
  <c r="Y60" i="1" a="1"/>
  <c r="Y60" i="1" s="1"/>
  <c r="R54" i="1" a="1"/>
  <c r="R54" i="1" s="1"/>
  <c r="W46" i="1" a="1"/>
  <c r="W46" i="1" s="1"/>
  <c r="S28" i="1" a="1"/>
  <c r="S28" i="1" s="1"/>
  <c r="S15" i="1" a="1"/>
  <c r="S15" i="1" s="1"/>
  <c r="M10" i="1" a="1"/>
  <c r="M10" i="1" s="1"/>
  <c r="W132" i="1" a="1"/>
  <c r="W132" i="1" s="1"/>
  <c r="Q123" i="1" a="1"/>
  <c r="Q123" i="1" s="1"/>
  <c r="X82" i="1" a="1"/>
  <c r="X82" i="1" s="1"/>
  <c r="Q47" i="1" a="1"/>
  <c r="Q47" i="1" s="1"/>
  <c r="U27" i="1" a="1"/>
  <c r="U27" i="1" s="1"/>
  <c r="S200" i="1" a="1"/>
  <c r="S200" i="1" s="1"/>
  <c r="X135" i="1" a="1"/>
  <c r="X135" i="1" s="1"/>
  <c r="R128" i="1" a="1"/>
  <c r="R128" i="1" s="1"/>
  <c r="P125" i="1" a="1"/>
  <c r="P125" i="1" s="1"/>
  <c r="L105" i="1" a="1"/>
  <c r="L105" i="1" s="1"/>
  <c r="V88" i="1" a="1"/>
  <c r="V88" i="1" s="1"/>
  <c r="O84" i="1" a="1"/>
  <c r="O84" i="1" s="1"/>
  <c r="R62" i="1" a="1"/>
  <c r="R62" i="1" s="1"/>
  <c r="X58" i="1" a="1"/>
  <c r="X58" i="1" s="1"/>
  <c r="W50" i="1" a="1"/>
  <c r="W50" i="1" s="1"/>
  <c r="X46" i="1" a="1"/>
  <c r="X46" i="1" s="1"/>
  <c r="O29" i="1" a="1"/>
  <c r="O29" i="1" s="1"/>
  <c r="T28" i="1" a="1"/>
  <c r="T28" i="1" s="1"/>
  <c r="N22" i="1" a="1"/>
  <c r="N22" i="1" s="1"/>
  <c r="Y13" i="1" a="1"/>
  <c r="Y13" i="1" s="1"/>
  <c r="L13" i="1" a="1"/>
  <c r="L13" i="1" s="1"/>
  <c r="L120" i="1" a="1"/>
  <c r="L120" i="1" s="1"/>
  <c r="M88" i="1" a="1"/>
  <c r="M88" i="1" s="1"/>
  <c r="X49" i="1" a="1"/>
  <c r="X49" i="1" s="1"/>
  <c r="X25" i="1" a="1"/>
  <c r="X25" i="1" s="1"/>
  <c r="Y10" i="1" a="1"/>
  <c r="Y10" i="1" s="1"/>
  <c r="W8" i="1" a="1"/>
  <c r="W8" i="1" s="1"/>
  <c r="S275" i="1" a="1"/>
  <c r="S275" i="1" s="1"/>
  <c r="X190" i="1" a="1"/>
  <c r="X190" i="1" s="1"/>
  <c r="X156" i="1" a="1"/>
  <c r="X156" i="1" s="1"/>
  <c r="U89" i="1" a="1"/>
  <c r="U89" i="1" s="1"/>
  <c r="X68" i="1" a="1"/>
  <c r="X68" i="1" s="1"/>
  <c r="V52" i="1" a="1"/>
  <c r="V52" i="1" s="1"/>
  <c r="O28" i="1" a="1"/>
  <c r="O28" i="1" s="1"/>
  <c r="W207" i="1" a="1"/>
  <c r="W207" i="1" s="1"/>
  <c r="V167" i="1" a="1"/>
  <c r="V167" i="1" s="1"/>
  <c r="Q128" i="1" a="1"/>
  <c r="Q128" i="1" s="1"/>
  <c r="L125" i="1" a="1"/>
  <c r="L125" i="1" s="1"/>
  <c r="M120" i="1" a="1"/>
  <c r="M120" i="1" s="1"/>
  <c r="W85" i="1" a="1"/>
  <c r="W85" i="1" s="1"/>
  <c r="Y82" i="1" a="1"/>
  <c r="Y82" i="1" s="1"/>
  <c r="O63" i="1" a="1"/>
  <c r="O63" i="1" s="1"/>
  <c r="R58" i="1" a="1"/>
  <c r="R58" i="1" s="1"/>
  <c r="X54" i="1" a="1"/>
  <c r="X54" i="1" s="1"/>
  <c r="X53" i="1" a="1"/>
  <c r="X53" i="1" s="1"/>
  <c r="V14" i="1" a="1"/>
  <c r="V14" i="1" s="1"/>
  <c r="X13" i="1" a="1"/>
  <c r="X13" i="1" s="1"/>
  <c r="Y8" i="1" a="1"/>
  <c r="Y8" i="1" s="1"/>
  <c r="Q6" i="1" a="1"/>
  <c r="Q6" i="1" s="1"/>
  <c r="V207" i="1" a="1"/>
  <c r="V207" i="1" s="1"/>
  <c r="Y190" i="1" a="1"/>
  <c r="Y190" i="1" s="1"/>
  <c r="O164" i="1" a="1"/>
  <c r="O164" i="1" s="1"/>
  <c r="R123" i="1" a="1"/>
  <c r="R123" i="1" s="1"/>
  <c r="R100" i="1" a="1"/>
  <c r="R100" i="1" s="1"/>
  <c r="U50" i="1" a="1"/>
  <c r="U50" i="1" s="1"/>
  <c r="R14" i="1" a="1"/>
  <c r="R14" i="1" s="1"/>
  <c r="U11" i="1" a="1"/>
  <c r="U11" i="1" s="1"/>
  <c r="N164" i="1" a="1"/>
  <c r="N164" i="1" s="1"/>
  <c r="Y98" i="1" a="1"/>
  <c r="Y98" i="1" s="1"/>
  <c r="L63" i="1" a="1"/>
  <c r="L63" i="1" s="1"/>
  <c r="Q58" i="1" a="1"/>
  <c r="Q58" i="1" s="1"/>
  <c r="R51" i="1" a="1"/>
  <c r="R51" i="1" s="1"/>
  <c r="T13" i="1" a="1"/>
  <c r="T13" i="1" s="1"/>
  <c r="R26" i="1" a="1"/>
  <c r="R26" i="1" s="1"/>
  <c r="N46" i="1" a="1"/>
  <c r="N46" i="1" s="1"/>
  <c r="O68" i="1" a="1"/>
  <c r="O68" i="1" s="1"/>
  <c r="Q90" i="1" a="1"/>
  <c r="Q90" i="1" s="1"/>
  <c r="U126" i="1" a="1"/>
  <c r="U126" i="1" s="1"/>
  <c r="O11" i="1" a="1"/>
  <c r="O11" i="1" s="1"/>
  <c r="S67" i="1" a="1"/>
  <c r="S67" i="1" s="1"/>
  <c r="Y101" i="1" a="1"/>
  <c r="Y101" i="1" s="1"/>
  <c r="W12" i="1" a="1"/>
  <c r="W12" i="1" s="1"/>
  <c r="Q25" i="1" a="1"/>
  <c r="Q25" i="1" s="1"/>
  <c r="R52" i="1" a="1"/>
  <c r="R52" i="1" s="1"/>
  <c r="Y91" i="1" a="1"/>
  <c r="Y91" i="1" s="1"/>
  <c r="S91" i="1" a="1"/>
  <c r="S91" i="1" s="1"/>
  <c r="M91" i="1" a="1"/>
  <c r="M91" i="1" s="1"/>
  <c r="X91" i="1" a="1"/>
  <c r="X91" i="1" s="1"/>
  <c r="R91" i="1" a="1"/>
  <c r="R91" i="1" s="1"/>
  <c r="L91" i="1" a="1"/>
  <c r="L91" i="1" s="1"/>
  <c r="V91" i="1" a="1"/>
  <c r="V91" i="1" s="1"/>
  <c r="N91" i="1" a="1"/>
  <c r="N91" i="1" s="1"/>
  <c r="U91" i="1" a="1"/>
  <c r="U91" i="1" s="1"/>
  <c r="T91" i="1" a="1"/>
  <c r="T91" i="1" s="1"/>
  <c r="W91" i="1" a="1"/>
  <c r="W91" i="1" s="1"/>
  <c r="Q91" i="1" a="1"/>
  <c r="Q91" i="1" s="1"/>
  <c r="P91" i="1" a="1"/>
  <c r="P91" i="1" s="1"/>
  <c r="O91" i="1" a="1"/>
  <c r="O91" i="1" s="1"/>
  <c r="O6" i="1" a="1"/>
  <c r="O6" i="1" s="1"/>
  <c r="O5" i="1" a="1"/>
  <c r="O5" i="1" s="1"/>
  <c r="P6" i="1" a="1"/>
  <c r="P6" i="1" s="1"/>
  <c r="X7" i="1" a="1"/>
  <c r="X7" i="1" s="1"/>
  <c r="Y9" i="1" a="1"/>
  <c r="Y9" i="1" s="1"/>
  <c r="X10" i="1" a="1"/>
  <c r="X10" i="1" s="1"/>
  <c r="V22" i="1" a="1"/>
  <c r="V22" i="1" s="1"/>
  <c r="Y26" i="1" a="1"/>
  <c r="Y26" i="1" s="1"/>
  <c r="M28" i="1" a="1"/>
  <c r="M28" i="1" s="1"/>
  <c r="V44" i="1" a="1"/>
  <c r="V44" i="1" s="1"/>
  <c r="N47" i="1" a="1"/>
  <c r="N47" i="1" s="1"/>
  <c r="O64" i="1" a="1"/>
  <c r="O64" i="1" s="1"/>
  <c r="U65" i="1" a="1"/>
  <c r="U65" i="1" s="1"/>
  <c r="P89" i="1" a="1"/>
  <c r="P89" i="1" s="1"/>
  <c r="L100" i="1" a="1"/>
  <c r="L100" i="1" s="1"/>
  <c r="O106" i="1" a="1"/>
  <c r="O106" i="1" s="1"/>
  <c r="P107" i="1" a="1"/>
  <c r="P107" i="1" s="1"/>
  <c r="W156" i="1" a="1"/>
  <c r="W156" i="1" s="1"/>
  <c r="W174" i="1" a="1"/>
  <c r="W174" i="1" s="1"/>
  <c r="V183" i="1" a="1"/>
  <c r="V183" i="1" s="1"/>
  <c r="P68" i="1" a="1"/>
  <c r="P68" i="1" s="1"/>
  <c r="W5" i="1" a="1"/>
  <c r="W5" i="1" s="1"/>
  <c r="Q5" i="1" a="1"/>
  <c r="Q5" i="1" s="1"/>
  <c r="P5" i="1" a="1"/>
  <c r="P5" i="1" s="1"/>
  <c r="U5" i="1" a="1"/>
  <c r="U5" i="1" s="1"/>
  <c r="M5" i="1" a="1"/>
  <c r="M5" i="1" s="1"/>
  <c r="L5" i="1" a="1"/>
  <c r="L5" i="1" s="1"/>
  <c r="T5" i="1" a="1"/>
  <c r="T5" i="1" s="1"/>
  <c r="W138" i="1" a="1"/>
  <c r="W138" i="1" s="1"/>
  <c r="Q138" i="1" a="1"/>
  <c r="Q138" i="1" s="1"/>
  <c r="V138" i="1" a="1"/>
  <c r="V138" i="1" s="1"/>
  <c r="P138" i="1" a="1"/>
  <c r="P138" i="1" s="1"/>
  <c r="M138" i="1" a="1"/>
  <c r="M138" i="1" s="1"/>
  <c r="U138" i="1" a="1"/>
  <c r="U138" i="1" s="1"/>
  <c r="R138" i="1" a="1"/>
  <c r="R138" i="1" s="1"/>
  <c r="N138" i="1" a="1"/>
  <c r="N138" i="1" s="1"/>
  <c r="T138" i="1" a="1"/>
  <c r="T138" i="1" s="1"/>
  <c r="S138" i="1" a="1"/>
  <c r="S138" i="1" s="1"/>
  <c r="O138" i="1" a="1"/>
  <c r="O138" i="1" s="1"/>
  <c r="L138" i="1" a="1"/>
  <c r="L138" i="1" s="1"/>
  <c r="Y138" i="1" a="1"/>
  <c r="Y138" i="1" s="1"/>
  <c r="X138" i="1" a="1"/>
  <c r="X138" i="1" s="1"/>
  <c r="Y11" i="1" a="1"/>
  <c r="Y11" i="1" s="1"/>
  <c r="U25" i="1" a="1"/>
  <c r="U25" i="1" s="1"/>
  <c r="O25" i="1" a="1"/>
  <c r="O25" i="1" s="1"/>
  <c r="T25" i="1" a="1"/>
  <c r="T25" i="1" s="1"/>
  <c r="N25" i="1" a="1"/>
  <c r="N25" i="1" s="1"/>
  <c r="Y25" i="1" a="1"/>
  <c r="Y25" i="1" s="1"/>
  <c r="S25" i="1" a="1"/>
  <c r="S25" i="1" s="1"/>
  <c r="M25" i="1" a="1"/>
  <c r="M25" i="1" s="1"/>
  <c r="W25" i="1" a="1"/>
  <c r="W25" i="1" s="1"/>
  <c r="V25" i="1" a="1"/>
  <c r="V25" i="1" s="1"/>
  <c r="L25" i="1" a="1"/>
  <c r="L25" i="1" s="1"/>
  <c r="Y31" i="1" a="1"/>
  <c r="Y31" i="1" s="1"/>
  <c r="S31" i="1" a="1"/>
  <c r="S31" i="1" s="1"/>
  <c r="X31" i="1" a="1"/>
  <c r="X31" i="1" s="1"/>
  <c r="W31" i="1" a="1"/>
  <c r="W31" i="1" s="1"/>
  <c r="O31" i="1" a="1"/>
  <c r="O31" i="1" s="1"/>
  <c r="V31" i="1" a="1"/>
  <c r="V31" i="1" s="1"/>
  <c r="U31" i="1" a="1"/>
  <c r="U31" i="1" s="1"/>
  <c r="V32" i="1" a="1"/>
  <c r="V32" i="1" s="1"/>
  <c r="P32" i="1" a="1"/>
  <c r="P32" i="1" s="1"/>
  <c r="U32" i="1" a="1"/>
  <c r="U32" i="1" s="1"/>
  <c r="N32" i="1" a="1"/>
  <c r="N32" i="1" s="1"/>
  <c r="T32" i="1" a="1"/>
  <c r="T32" i="1" s="1"/>
  <c r="S32" i="1" a="1"/>
  <c r="S32" i="1" s="1"/>
  <c r="Y32" i="1" a="1"/>
  <c r="Y32" i="1" s="1"/>
  <c r="L32" i="1" a="1"/>
  <c r="L32" i="1" s="1"/>
  <c r="X32" i="1" a="1"/>
  <c r="X32" i="1" s="1"/>
  <c r="O32" i="1" a="1"/>
  <c r="O32" i="1" s="1"/>
  <c r="M32" i="1" a="1"/>
  <c r="M32" i="1" s="1"/>
  <c r="W32" i="1" a="1"/>
  <c r="W32" i="1" s="1"/>
  <c r="M65" i="1" a="1"/>
  <c r="M65" i="1" s="1"/>
  <c r="S65" i="1" a="1"/>
  <c r="S65" i="1" s="1"/>
  <c r="Y65" i="1" a="1"/>
  <c r="Y65" i="1" s="1"/>
  <c r="L65" i="1" a="1"/>
  <c r="L65" i="1" s="1"/>
  <c r="X65" i="1" a="1"/>
  <c r="X65" i="1" s="1"/>
  <c r="P65" i="1" a="1"/>
  <c r="P65" i="1" s="1"/>
  <c r="W65" i="1" a="1"/>
  <c r="W65" i="1" s="1"/>
  <c r="N65" i="1" a="1"/>
  <c r="N65" i="1" s="1"/>
  <c r="O65" i="1" a="1"/>
  <c r="O65" i="1" s="1"/>
  <c r="V65" i="1" a="1"/>
  <c r="V65" i="1" s="1"/>
  <c r="U82" i="1" a="1"/>
  <c r="U82" i="1" s="1"/>
  <c r="W133" i="1" a="1"/>
  <c r="W133" i="1" s="1"/>
  <c r="Q133" i="1" a="1"/>
  <c r="Q133" i="1" s="1"/>
  <c r="T133" i="1" a="1"/>
  <c r="T133" i="1" s="1"/>
  <c r="M133" i="1" a="1"/>
  <c r="M133" i="1" s="1"/>
  <c r="S133" i="1" a="1"/>
  <c r="S133" i="1" s="1"/>
  <c r="L133" i="1" a="1"/>
  <c r="L133" i="1" s="1"/>
  <c r="Y133" i="1" a="1"/>
  <c r="Y133" i="1" s="1"/>
  <c r="R133" i="1" a="1"/>
  <c r="R133" i="1" s="1"/>
  <c r="P133" i="1" a="1"/>
  <c r="P133" i="1" s="1"/>
  <c r="U133" i="1" a="1"/>
  <c r="U133" i="1" s="1"/>
  <c r="O133" i="1" a="1"/>
  <c r="O133" i="1" s="1"/>
  <c r="N133" i="1" a="1"/>
  <c r="N133" i="1" s="1"/>
  <c r="V133" i="1" a="1"/>
  <c r="V133" i="1" s="1"/>
  <c r="X133" i="1" a="1"/>
  <c r="X133" i="1" s="1"/>
  <c r="Q60" i="1" a="1"/>
  <c r="Q60" i="1" s="1"/>
  <c r="T9" i="1" a="1"/>
  <c r="T9" i="1" s="1"/>
  <c r="N9" i="1" a="1"/>
  <c r="N9" i="1" s="1"/>
  <c r="V9" i="1" a="1"/>
  <c r="V9" i="1" s="1"/>
  <c r="M9" i="1" a="1"/>
  <c r="M9" i="1" s="1"/>
  <c r="L9" i="1" a="1"/>
  <c r="L9" i="1" s="1"/>
  <c r="U9" i="1" a="1"/>
  <c r="U9" i="1" s="1"/>
  <c r="S9" i="1" a="1"/>
  <c r="S9" i="1" s="1"/>
  <c r="R9" i="1" a="1"/>
  <c r="R9" i="1" s="1"/>
  <c r="W26" i="1" a="1"/>
  <c r="W26" i="1" s="1"/>
  <c r="Q26" i="1" a="1"/>
  <c r="Q26" i="1" s="1"/>
  <c r="X26" i="1" a="1"/>
  <c r="X26" i="1" s="1"/>
  <c r="N26" i="1" a="1"/>
  <c r="N26" i="1" s="1"/>
  <c r="V26" i="1" a="1"/>
  <c r="V26" i="1" s="1"/>
  <c r="U26" i="1" a="1"/>
  <c r="U26" i="1" s="1"/>
  <c r="M26" i="1" a="1"/>
  <c r="M26" i="1" s="1"/>
  <c r="T26" i="1" a="1"/>
  <c r="T26" i="1" s="1"/>
  <c r="L26" i="1" a="1"/>
  <c r="L26" i="1" s="1"/>
  <c r="T27" i="1" a="1"/>
  <c r="T27" i="1" s="1"/>
  <c r="N27" i="1" a="1"/>
  <c r="N27" i="1" s="1"/>
  <c r="Y27" i="1" a="1"/>
  <c r="Y27" i="1" s="1"/>
  <c r="S27" i="1" a="1"/>
  <c r="S27" i="1" s="1"/>
  <c r="M27" i="1" a="1"/>
  <c r="M27" i="1" s="1"/>
  <c r="X27" i="1" a="1"/>
  <c r="X27" i="1" s="1"/>
  <c r="R27" i="1" a="1"/>
  <c r="R27" i="1" s="1"/>
  <c r="L27" i="1" a="1"/>
  <c r="L27" i="1" s="1"/>
  <c r="Q27" i="1" a="1"/>
  <c r="Q27" i="1" s="1"/>
  <c r="P27" i="1" a="1"/>
  <c r="P27" i="1" s="1"/>
  <c r="W27" i="1" a="1"/>
  <c r="W27" i="1" s="1"/>
  <c r="M52" i="1" a="1"/>
  <c r="M52" i="1" s="1"/>
  <c r="S52" i="1" a="1"/>
  <c r="S52" i="1" s="1"/>
  <c r="Y52" i="1" a="1"/>
  <c r="Y52" i="1" s="1"/>
  <c r="L52" i="1" a="1"/>
  <c r="L52" i="1" s="1"/>
  <c r="X52" i="1" a="1"/>
  <c r="X52" i="1" s="1"/>
  <c r="Q52" i="1" a="1"/>
  <c r="Q52" i="1" s="1"/>
  <c r="P52" i="1" a="1"/>
  <c r="P52" i="1" s="1"/>
  <c r="O52" i="1" a="1"/>
  <c r="O52" i="1" s="1"/>
  <c r="W52" i="1" a="1"/>
  <c r="W52" i="1" s="1"/>
  <c r="N52" i="1" a="1"/>
  <c r="N52" i="1" s="1"/>
  <c r="W83" i="1" a="1"/>
  <c r="W83" i="1" s="1"/>
  <c r="U92" i="1" a="1"/>
  <c r="U92" i="1" s="1"/>
  <c r="O92" i="1" a="1"/>
  <c r="O92" i="1" s="1"/>
  <c r="T92" i="1" a="1"/>
  <c r="T92" i="1" s="1"/>
  <c r="N92" i="1" a="1"/>
  <c r="N92" i="1" s="1"/>
  <c r="X92" i="1" a="1"/>
  <c r="X92" i="1" s="1"/>
  <c r="P92" i="1" a="1"/>
  <c r="P92" i="1" s="1"/>
  <c r="W92" i="1" a="1"/>
  <c r="W92" i="1" s="1"/>
  <c r="V92" i="1" a="1"/>
  <c r="V92" i="1" s="1"/>
  <c r="L92" i="1" a="1"/>
  <c r="L92" i="1" s="1"/>
  <c r="S92" i="1" a="1"/>
  <c r="S92" i="1" s="1"/>
  <c r="Q92" i="1" a="1"/>
  <c r="Q92" i="1" s="1"/>
  <c r="R92" i="1" a="1"/>
  <c r="R92" i="1" s="1"/>
  <c r="M92" i="1" a="1"/>
  <c r="M92" i="1" s="1"/>
  <c r="L116" i="1" a="1"/>
  <c r="L116" i="1" s="1"/>
  <c r="Y265" i="1" a="1"/>
  <c r="Y265" i="1" s="1"/>
  <c r="S265" i="1" a="1"/>
  <c r="S265" i="1" s="1"/>
  <c r="L265" i="1" a="1"/>
  <c r="L265" i="1" s="1"/>
  <c r="X265" i="1" a="1"/>
  <c r="X265" i="1" s="1"/>
  <c r="R265" i="1" a="1"/>
  <c r="R265" i="1" s="1"/>
  <c r="W265" i="1" a="1"/>
  <c r="W265" i="1" s="1"/>
  <c r="N265" i="1" a="1"/>
  <c r="N265" i="1" s="1"/>
  <c r="V265" i="1" a="1"/>
  <c r="V265" i="1" s="1"/>
  <c r="Q265" i="1" a="1"/>
  <c r="Q265" i="1" s="1"/>
  <c r="P265" i="1" a="1"/>
  <c r="P265" i="1" s="1"/>
  <c r="M265" i="1" a="1"/>
  <c r="M265" i="1" s="1"/>
  <c r="U265" i="1" a="1"/>
  <c r="U265" i="1" s="1"/>
  <c r="T265" i="1" a="1"/>
  <c r="T265" i="1" s="1"/>
  <c r="V67" i="1" a="1"/>
  <c r="V67" i="1" s="1"/>
  <c r="O67" i="1" a="1"/>
  <c r="O67" i="1" s="1"/>
  <c r="U67" i="1" a="1"/>
  <c r="U67" i="1" s="1"/>
  <c r="T67" i="1" a="1"/>
  <c r="T67" i="1" s="1"/>
  <c r="R67" i="1" a="1"/>
  <c r="R67" i="1" s="1"/>
  <c r="Q67" i="1" a="1"/>
  <c r="Q67" i="1" s="1"/>
  <c r="N67" i="1" a="1"/>
  <c r="N67" i="1" s="1"/>
  <c r="P67" i="1" a="1"/>
  <c r="P67" i="1" s="1"/>
  <c r="X67" i="1" a="1"/>
  <c r="X67" i="1" s="1"/>
  <c r="M67" i="1" a="1"/>
  <c r="M67" i="1" s="1"/>
  <c r="W67" i="1" a="1"/>
  <c r="W67" i="1" s="1"/>
  <c r="V5" i="1" a="1"/>
  <c r="V5" i="1" s="1"/>
  <c r="R96" i="1" a="1"/>
  <c r="R96" i="1" s="1"/>
  <c r="X5" i="1" a="1"/>
  <c r="X5" i="1" s="1"/>
  <c r="W9" i="1" a="1"/>
  <c r="W9" i="1" s="1"/>
  <c r="Q14" i="1" a="1"/>
  <c r="Q14" i="1" s="1"/>
  <c r="U47" i="1" a="1"/>
  <c r="U47" i="1" s="1"/>
  <c r="P48" i="1" a="1"/>
  <c r="P48" i="1" s="1"/>
  <c r="O55" i="1" a="1"/>
  <c r="O55" i="1" s="1"/>
  <c r="L67" i="1" a="1"/>
  <c r="L67" i="1" s="1"/>
  <c r="Y86" i="1" a="1"/>
  <c r="Y86" i="1" s="1"/>
  <c r="O103" i="1" a="1"/>
  <c r="O103" i="1" s="1"/>
  <c r="Y136" i="1" a="1"/>
  <c r="Y136" i="1" s="1"/>
  <c r="S136" i="1" a="1"/>
  <c r="S136" i="1" s="1"/>
  <c r="M136" i="1" a="1"/>
  <c r="M136" i="1" s="1"/>
  <c r="X136" i="1" a="1"/>
  <c r="X136" i="1" s="1"/>
  <c r="R136" i="1" a="1"/>
  <c r="R136" i="1" s="1"/>
  <c r="L136" i="1" a="1"/>
  <c r="L136" i="1" s="1"/>
  <c r="U136" i="1" a="1"/>
  <c r="U136" i="1" s="1"/>
  <c r="T136" i="1" a="1"/>
  <c r="T136" i="1" s="1"/>
  <c r="N136" i="1" a="1"/>
  <c r="N136" i="1" s="1"/>
  <c r="P136" i="1" a="1"/>
  <c r="P136" i="1" s="1"/>
  <c r="O136" i="1" a="1"/>
  <c r="O136" i="1" s="1"/>
  <c r="W136" i="1" a="1"/>
  <c r="W136" i="1" s="1"/>
  <c r="V136" i="1" a="1"/>
  <c r="V136" i="1" s="1"/>
  <c r="Q136" i="1" a="1"/>
  <c r="Q136" i="1" s="1"/>
  <c r="N5" i="1" a="1"/>
  <c r="N5" i="1" s="1"/>
  <c r="Y5" i="1" a="1"/>
  <c r="Y5" i="1" s="1"/>
  <c r="X9" i="1" a="1"/>
  <c r="X9" i="1" s="1"/>
  <c r="Y51" i="1" a="1"/>
  <c r="Y51" i="1" s="1"/>
  <c r="S51" i="1" a="1"/>
  <c r="S51" i="1" s="1"/>
  <c r="M51" i="1" a="1"/>
  <c r="M51" i="1" s="1"/>
  <c r="V51" i="1" a="1"/>
  <c r="V51" i="1" s="1"/>
  <c r="O51" i="1" a="1"/>
  <c r="O51" i="1" s="1"/>
  <c r="U51" i="1" a="1"/>
  <c r="U51" i="1" s="1"/>
  <c r="T51" i="1" a="1"/>
  <c r="T51" i="1" s="1"/>
  <c r="X51" i="1" a="1"/>
  <c r="X51" i="1" s="1"/>
  <c r="N51" i="1" a="1"/>
  <c r="N51" i="1" s="1"/>
  <c r="W51" i="1" a="1"/>
  <c r="W51" i="1" s="1"/>
  <c r="L51" i="1" a="1"/>
  <c r="L51" i="1" s="1"/>
  <c r="Y59" i="1" a="1"/>
  <c r="Y59" i="1" s="1"/>
  <c r="Q65" i="1" a="1"/>
  <c r="Q65" i="1" s="1"/>
  <c r="T61" i="1" a="1"/>
  <c r="T61" i="1" s="1"/>
  <c r="N61" i="1" a="1"/>
  <c r="N61" i="1" s="1"/>
  <c r="M61" i="1" a="1"/>
  <c r="M61" i="1" s="1"/>
  <c r="S61" i="1" a="1"/>
  <c r="S61" i="1" s="1"/>
  <c r="Y61" i="1" a="1"/>
  <c r="Y61" i="1" s="1"/>
  <c r="L61" i="1" a="1"/>
  <c r="L61" i="1" s="1"/>
  <c r="X61" i="1" a="1"/>
  <c r="X61" i="1" s="1"/>
  <c r="M244" i="1" a="1"/>
  <c r="M244" i="1" s="1"/>
  <c r="S244" i="1" a="1"/>
  <c r="S244" i="1" s="1"/>
  <c r="W244" i="1" a="1"/>
  <c r="W244" i="1" s="1"/>
  <c r="O244" i="1" a="1"/>
  <c r="O244" i="1" s="1"/>
  <c r="V244" i="1" a="1"/>
  <c r="V244" i="1" s="1"/>
  <c r="L244" i="1" a="1"/>
  <c r="L244" i="1" s="1"/>
  <c r="N244" i="1" a="1"/>
  <c r="N244" i="1" s="1"/>
  <c r="Y244" i="1" a="1"/>
  <c r="Y244" i="1" s="1"/>
  <c r="X244" i="1" a="1"/>
  <c r="X244" i="1" s="1"/>
  <c r="U244" i="1" a="1"/>
  <c r="U244" i="1" s="1"/>
  <c r="Q244" i="1" a="1"/>
  <c r="Q244" i="1" s="1"/>
  <c r="P244" i="1" a="1"/>
  <c r="P244" i="1" s="1"/>
  <c r="T244" i="1" a="1"/>
  <c r="T244" i="1" s="1"/>
  <c r="R244" i="1" a="1"/>
  <c r="R244" i="1" s="1"/>
  <c r="Y6" i="1" a="1"/>
  <c r="Y6" i="1" s="1"/>
  <c r="S6" i="1" a="1"/>
  <c r="S6" i="1" s="1"/>
  <c r="M6" i="1" a="1"/>
  <c r="M6" i="1" s="1"/>
  <c r="R8" i="1" a="1"/>
  <c r="R8" i="1" s="1"/>
  <c r="L8" i="1" a="1"/>
  <c r="L8" i="1" s="1"/>
  <c r="X8" i="1" a="1"/>
  <c r="X8" i="1" s="1"/>
  <c r="S8" i="1" a="1"/>
  <c r="S8" i="1" s="1"/>
  <c r="V10" i="1" a="1"/>
  <c r="V10" i="1" s="1"/>
  <c r="P11" i="1" a="1"/>
  <c r="P11" i="1" s="1"/>
  <c r="R44" i="1" a="1"/>
  <c r="R44" i="1" s="1"/>
  <c r="R47" i="1" a="1"/>
  <c r="R47" i="1" s="1"/>
  <c r="T54" i="1" a="1"/>
  <c r="T54" i="1" s="1"/>
  <c r="N54" i="1" a="1"/>
  <c r="N54" i="1" s="1"/>
  <c r="U54" i="1" a="1"/>
  <c r="U54" i="1" s="1"/>
  <c r="M54" i="1" a="1"/>
  <c r="M54" i="1" s="1"/>
  <c r="Y54" i="1" a="1"/>
  <c r="Y54" i="1" s="1"/>
  <c r="L54" i="1" a="1"/>
  <c r="L54" i="1" s="1"/>
  <c r="S54" i="1" a="1"/>
  <c r="S54" i="1" s="1"/>
  <c r="Y58" i="1" a="1"/>
  <c r="Y58" i="1" s="1"/>
  <c r="S58" i="1" a="1"/>
  <c r="S58" i="1" s="1"/>
  <c r="M58" i="1" a="1"/>
  <c r="M58" i="1" s="1"/>
  <c r="U58" i="1" a="1"/>
  <c r="U58" i="1" s="1"/>
  <c r="N58" i="1" a="1"/>
  <c r="N58" i="1" s="1"/>
  <c r="T58" i="1" a="1"/>
  <c r="T58" i="1" s="1"/>
  <c r="L58" i="1" a="1"/>
  <c r="L58" i="1" s="1"/>
  <c r="U61" i="1" a="1"/>
  <c r="U61" i="1" s="1"/>
  <c r="Q84" i="1" a="1"/>
  <c r="Q84" i="1" s="1"/>
  <c r="W123" i="1" a="1"/>
  <c r="W123" i="1" s="1"/>
  <c r="V135" i="1" a="1"/>
  <c r="V135" i="1" s="1"/>
  <c r="Y152" i="1" a="1"/>
  <c r="Y152" i="1" s="1"/>
  <c r="S152" i="1" a="1"/>
  <c r="S152" i="1" s="1"/>
  <c r="M152" i="1" a="1"/>
  <c r="M152" i="1" s="1"/>
  <c r="X152" i="1" a="1"/>
  <c r="X152" i="1" s="1"/>
  <c r="R152" i="1" a="1"/>
  <c r="R152" i="1" s="1"/>
  <c r="L152" i="1" a="1"/>
  <c r="L152" i="1" s="1"/>
  <c r="W152" i="1" a="1"/>
  <c r="W152" i="1" s="1"/>
  <c r="V152" i="1" a="1"/>
  <c r="V152" i="1" s="1"/>
  <c r="N152" i="1" a="1"/>
  <c r="N152" i="1" s="1"/>
  <c r="U152" i="1" a="1"/>
  <c r="U152" i="1" s="1"/>
  <c r="T152" i="1" a="1"/>
  <c r="T152" i="1" s="1"/>
  <c r="Q152" i="1" a="1"/>
  <c r="Q152" i="1" s="1"/>
  <c r="P152" i="1" a="1"/>
  <c r="P152" i="1" s="1"/>
  <c r="O152" i="1" a="1"/>
  <c r="O152" i="1" s="1"/>
  <c r="S44" i="1" a="1"/>
  <c r="S44" i="1" s="1"/>
  <c r="T47" i="1" a="1"/>
  <c r="T47" i="1" s="1"/>
  <c r="R82" i="1" a="1"/>
  <c r="R82" i="1" s="1"/>
  <c r="X11" i="1" a="1"/>
  <c r="X11" i="1" s="1"/>
  <c r="R11" i="1" a="1"/>
  <c r="R11" i="1" s="1"/>
  <c r="L11" i="1" a="1"/>
  <c r="L11" i="1" s="1"/>
  <c r="Q11" i="1" a="1"/>
  <c r="Q11" i="1" s="1"/>
  <c r="Y14" i="1" a="1"/>
  <c r="Y14" i="1" s="1"/>
  <c r="M14" i="1" a="1"/>
  <c r="M14" i="1" s="1"/>
  <c r="S14" i="1" a="1"/>
  <c r="S14" i="1" s="1"/>
  <c r="T14" i="1" a="1"/>
  <c r="T14" i="1" s="1"/>
  <c r="Y22" i="1" a="1"/>
  <c r="Y22" i="1" s="1"/>
  <c r="S22" i="1" a="1"/>
  <c r="S22" i="1" s="1"/>
  <c r="M22" i="1" a="1"/>
  <c r="M22" i="1" s="1"/>
  <c r="X22" i="1" a="1"/>
  <c r="X22" i="1" s="1"/>
  <c r="R22" i="1" a="1"/>
  <c r="R22" i="1" s="1"/>
  <c r="L22" i="1" a="1"/>
  <c r="L22" i="1" s="1"/>
  <c r="W22" i="1" a="1"/>
  <c r="W22" i="1" s="1"/>
  <c r="Q22" i="1" a="1"/>
  <c r="Q22" i="1" s="1"/>
  <c r="S11" i="1" a="1"/>
  <c r="S11" i="1" s="1"/>
  <c r="W13" i="1" a="1"/>
  <c r="W13" i="1" s="1"/>
  <c r="T22" i="1" a="1"/>
  <c r="T22" i="1" s="1"/>
  <c r="Y29" i="1" a="1"/>
  <c r="Y29" i="1" s="1"/>
  <c r="S29" i="1" a="1"/>
  <c r="S29" i="1" s="1"/>
  <c r="M29" i="1" a="1"/>
  <c r="M29" i="1" s="1"/>
  <c r="X29" i="1" a="1"/>
  <c r="X29" i="1" s="1"/>
  <c r="R29" i="1" a="1"/>
  <c r="R29" i="1" s="1"/>
  <c r="L29" i="1" a="1"/>
  <c r="L29" i="1" s="1"/>
  <c r="W29" i="1" a="1"/>
  <c r="W29" i="1" s="1"/>
  <c r="Q29" i="1" a="1"/>
  <c r="Q29" i="1" s="1"/>
  <c r="W53" i="1" a="1"/>
  <c r="W53" i="1" s="1"/>
  <c r="X60" i="1" a="1"/>
  <c r="X60" i="1" s="1"/>
  <c r="R60" i="1" a="1"/>
  <c r="R60" i="1" s="1"/>
  <c r="L60" i="1" a="1"/>
  <c r="L60" i="1" s="1"/>
  <c r="P60" i="1" a="1"/>
  <c r="P60" i="1" s="1"/>
  <c r="V60" i="1" a="1"/>
  <c r="V60" i="1" s="1"/>
  <c r="O60" i="1" a="1"/>
  <c r="O60" i="1" s="1"/>
  <c r="N60" i="1" a="1"/>
  <c r="N60" i="1" s="1"/>
  <c r="S60" i="1" a="1"/>
  <c r="S60" i="1" s="1"/>
  <c r="S68" i="1" a="1"/>
  <c r="S68" i="1" s="1"/>
  <c r="L68" i="1" a="1"/>
  <c r="L68" i="1" s="1"/>
  <c r="R68" i="1" a="1"/>
  <c r="R68" i="1" s="1"/>
  <c r="Q68" i="1" a="1"/>
  <c r="Q68" i="1" s="1"/>
  <c r="T68" i="1" a="1"/>
  <c r="T68" i="1" s="1"/>
  <c r="S82" i="1" a="1"/>
  <c r="S82" i="1" s="1"/>
  <c r="U87" i="1" a="1"/>
  <c r="U87" i="1" s="1"/>
  <c r="O87" i="1" a="1"/>
  <c r="O87" i="1" s="1"/>
  <c r="T87" i="1" a="1"/>
  <c r="T87" i="1" s="1"/>
  <c r="N87" i="1" a="1"/>
  <c r="N87" i="1" s="1"/>
  <c r="Y87" i="1" a="1"/>
  <c r="Y87" i="1" s="1"/>
  <c r="X87" i="1" a="1"/>
  <c r="X87" i="1" s="1"/>
  <c r="P87" i="1" a="1"/>
  <c r="P87" i="1" s="1"/>
  <c r="M87" i="1" a="1"/>
  <c r="M87" i="1" s="1"/>
  <c r="V87" i="1" a="1"/>
  <c r="V87" i="1" s="1"/>
  <c r="V125" i="1" a="1"/>
  <c r="V125" i="1" s="1"/>
  <c r="O125" i="1" a="1"/>
  <c r="O125" i="1" s="1"/>
  <c r="U125" i="1" a="1"/>
  <c r="U125" i="1" s="1"/>
  <c r="N125" i="1" a="1"/>
  <c r="N125" i="1" s="1"/>
  <c r="X125" i="1" a="1"/>
  <c r="X125" i="1" s="1"/>
  <c r="M125" i="1" a="1"/>
  <c r="M125" i="1" s="1"/>
  <c r="W125" i="1" a="1"/>
  <c r="W125" i="1" s="1"/>
  <c r="S125" i="1" a="1"/>
  <c r="S125" i="1" s="1"/>
  <c r="T125" i="1" a="1"/>
  <c r="T125" i="1" s="1"/>
  <c r="R125" i="1" a="1"/>
  <c r="R125" i="1" s="1"/>
  <c r="Q125" i="1" a="1"/>
  <c r="Q125" i="1" s="1"/>
  <c r="V137" i="1" a="1"/>
  <c r="V137" i="1" s="1"/>
  <c r="Y156" i="1" a="1"/>
  <c r="Y156" i="1" s="1"/>
  <c r="S156" i="1" a="1"/>
  <c r="S156" i="1" s="1"/>
  <c r="M156" i="1" a="1"/>
  <c r="M156" i="1" s="1"/>
  <c r="V156" i="1" a="1"/>
  <c r="V156" i="1" s="1"/>
  <c r="O156" i="1" a="1"/>
  <c r="O156" i="1" s="1"/>
  <c r="T156" i="1" a="1"/>
  <c r="T156" i="1" s="1"/>
  <c r="L156" i="1" a="1"/>
  <c r="L156" i="1" s="1"/>
  <c r="R156" i="1" a="1"/>
  <c r="R156" i="1" s="1"/>
  <c r="P156" i="1" a="1"/>
  <c r="P156" i="1" s="1"/>
  <c r="N156" i="1" a="1"/>
  <c r="N156" i="1" s="1"/>
  <c r="Q156" i="1" a="1"/>
  <c r="Q156" i="1" s="1"/>
  <c r="M47" i="1" a="1"/>
  <c r="M47" i="1" s="1"/>
  <c r="S47" i="1" a="1"/>
  <c r="S47" i="1" s="1"/>
  <c r="Y47" i="1" a="1"/>
  <c r="Y47" i="1" s="1"/>
  <c r="L47" i="1" a="1"/>
  <c r="L47" i="1" s="1"/>
  <c r="X47" i="1" a="1"/>
  <c r="X47" i="1" s="1"/>
  <c r="R50" i="1" a="1"/>
  <c r="R50" i="1" s="1"/>
  <c r="V61" i="1" a="1"/>
  <c r="V61" i="1" s="1"/>
  <c r="Y96" i="1" a="1"/>
  <c r="Y96" i="1" s="1"/>
  <c r="S96" i="1" a="1"/>
  <c r="S96" i="1" s="1"/>
  <c r="M96" i="1" a="1"/>
  <c r="M96" i="1" s="1"/>
  <c r="W96" i="1" a="1"/>
  <c r="W96" i="1" s="1"/>
  <c r="Q96" i="1" a="1"/>
  <c r="Q96" i="1" s="1"/>
  <c r="V96" i="1" a="1"/>
  <c r="V96" i="1" s="1"/>
  <c r="N96" i="1" a="1"/>
  <c r="N96" i="1" s="1"/>
  <c r="L96" i="1" a="1"/>
  <c r="L96" i="1" s="1"/>
  <c r="U96" i="1" a="1"/>
  <c r="U96" i="1" s="1"/>
  <c r="T96" i="1" a="1"/>
  <c r="T96" i="1" s="1"/>
  <c r="W126" i="1" a="1"/>
  <c r="W126" i="1" s="1"/>
  <c r="Q126" i="1" a="1"/>
  <c r="Q126" i="1" s="1"/>
  <c r="S126" i="1" a="1"/>
  <c r="S126" i="1" s="1"/>
  <c r="Y126" i="1" a="1"/>
  <c r="Y126" i="1" s="1"/>
  <c r="L126" i="1" a="1"/>
  <c r="L126" i="1" s="1"/>
  <c r="R126" i="1" a="1"/>
  <c r="R126" i="1" s="1"/>
  <c r="P126" i="1" a="1"/>
  <c r="P126" i="1" s="1"/>
  <c r="O126" i="1" a="1"/>
  <c r="O126" i="1" s="1"/>
  <c r="V126" i="1" a="1"/>
  <c r="V126" i="1" s="1"/>
  <c r="T126" i="1" a="1"/>
  <c r="T126" i="1" s="1"/>
  <c r="N126" i="1" a="1"/>
  <c r="N126" i="1" s="1"/>
  <c r="L6" i="1" a="1"/>
  <c r="L6" i="1" s="1"/>
  <c r="V28" i="1" a="1"/>
  <c r="V28" i="1" s="1"/>
  <c r="T29" i="1" a="1"/>
  <c r="T29" i="1" s="1"/>
  <c r="V47" i="1" a="1"/>
  <c r="V47" i="1" s="1"/>
  <c r="W54" i="1" a="1"/>
  <c r="W54" i="1" s="1"/>
  <c r="O56" i="1" a="1"/>
  <c r="O56" i="1" s="1"/>
  <c r="W58" i="1" a="1"/>
  <c r="W58" i="1" s="1"/>
  <c r="W61" i="1" a="1"/>
  <c r="W61" i="1" s="1"/>
  <c r="N63" i="1" a="1"/>
  <c r="N63" i="1" s="1"/>
  <c r="T63" i="1" a="1"/>
  <c r="T63" i="1" s="1"/>
  <c r="M63" i="1" a="1"/>
  <c r="M63" i="1" s="1"/>
  <c r="Y63" i="1" a="1"/>
  <c r="Y63" i="1" s="1"/>
  <c r="R63" i="1" a="1"/>
  <c r="R63" i="1" s="1"/>
  <c r="S63" i="1" a="1"/>
  <c r="S63" i="1" s="1"/>
  <c r="Y84" i="1" a="1"/>
  <c r="Y84" i="1" s="1"/>
  <c r="S84" i="1" a="1"/>
  <c r="S84" i="1" s="1"/>
  <c r="M84" i="1" a="1"/>
  <c r="M84" i="1" s="1"/>
  <c r="N84" i="1" a="1"/>
  <c r="N84" i="1" s="1"/>
  <c r="U84" i="1" a="1"/>
  <c r="U84" i="1" s="1"/>
  <c r="L84" i="1" a="1"/>
  <c r="L84" i="1" s="1"/>
  <c r="R84" i="1" a="1"/>
  <c r="R84" i="1" s="1"/>
  <c r="X96" i="1" a="1"/>
  <c r="X96" i="1" s="1"/>
  <c r="U100" i="1" a="1"/>
  <c r="U100" i="1" s="1"/>
  <c r="O100" i="1" a="1"/>
  <c r="O100" i="1" s="1"/>
  <c r="P100" i="1" a="1"/>
  <c r="P100" i="1" s="1"/>
  <c r="N100" i="1" a="1"/>
  <c r="N100" i="1" s="1"/>
  <c r="T100" i="1" a="1"/>
  <c r="T100" i="1" s="1"/>
  <c r="M100" i="1" a="1"/>
  <c r="M100" i="1" s="1"/>
  <c r="Q100" i="1" a="1"/>
  <c r="Q100" i="1" s="1"/>
  <c r="Y100" i="1" a="1"/>
  <c r="Y100" i="1" s="1"/>
  <c r="X100" i="1" a="1"/>
  <c r="X100" i="1" s="1"/>
  <c r="T123" i="1" a="1"/>
  <c r="T123" i="1" s="1"/>
  <c r="M123" i="1" a="1"/>
  <c r="M123" i="1" s="1"/>
  <c r="S123" i="1" a="1"/>
  <c r="S123" i="1" s="1"/>
  <c r="V123" i="1" a="1"/>
  <c r="V123" i="1" s="1"/>
  <c r="L123" i="1" a="1"/>
  <c r="L123" i="1" s="1"/>
  <c r="U123" i="1" a="1"/>
  <c r="U123" i="1" s="1"/>
  <c r="P123" i="1" a="1"/>
  <c r="P123" i="1" s="1"/>
  <c r="O123" i="1" a="1"/>
  <c r="O123" i="1" s="1"/>
  <c r="N123" i="1" a="1"/>
  <c r="N123" i="1" s="1"/>
  <c r="O139" i="1" a="1"/>
  <c r="O139" i="1" s="1"/>
  <c r="W153" i="1" a="1"/>
  <c r="W153" i="1" s="1"/>
  <c r="Q153" i="1" a="1"/>
  <c r="Q153" i="1" s="1"/>
  <c r="V153" i="1" a="1"/>
  <c r="V153" i="1" s="1"/>
  <c r="O153" i="1" a="1"/>
  <c r="O153" i="1" s="1"/>
  <c r="U153" i="1" a="1"/>
  <c r="U153" i="1" s="1"/>
  <c r="M153" i="1" a="1"/>
  <c r="M153" i="1" s="1"/>
  <c r="Y153" i="1" a="1"/>
  <c r="Y153" i="1" s="1"/>
  <c r="P153" i="1" a="1"/>
  <c r="P153" i="1" s="1"/>
  <c r="X153" i="1" a="1"/>
  <c r="X153" i="1" s="1"/>
  <c r="T153" i="1" a="1"/>
  <c r="T153" i="1" s="1"/>
  <c r="S153" i="1" a="1"/>
  <c r="S153" i="1" s="1"/>
  <c r="N153" i="1" a="1"/>
  <c r="N153" i="1" s="1"/>
  <c r="X174" i="1" a="1"/>
  <c r="X174" i="1" s="1"/>
  <c r="T44" i="1" a="1"/>
  <c r="T44" i="1" s="1"/>
  <c r="N44" i="1" a="1"/>
  <c r="N44" i="1" s="1"/>
  <c r="U44" i="1" a="1"/>
  <c r="U44" i="1" s="1"/>
  <c r="M44" i="1" a="1"/>
  <c r="M44" i="1" s="1"/>
  <c r="Y44" i="1" a="1"/>
  <c r="Y44" i="1" s="1"/>
  <c r="L44" i="1" a="1"/>
  <c r="L44" i="1" s="1"/>
  <c r="T82" i="1" a="1"/>
  <c r="T82" i="1" s="1"/>
  <c r="V82" i="1" a="1"/>
  <c r="V82" i="1" s="1"/>
  <c r="O82" i="1" a="1"/>
  <c r="O82" i="1" s="1"/>
  <c r="N82" i="1" a="1"/>
  <c r="N82" i="1" s="1"/>
  <c r="M82" i="1" a="1"/>
  <c r="M82" i="1" s="1"/>
  <c r="O34" i="1" a="1"/>
  <c r="O34" i="1" s="1"/>
  <c r="X86" i="1" a="1"/>
  <c r="X86" i="1" s="1"/>
  <c r="R86" i="1" a="1"/>
  <c r="R86" i="1" s="1"/>
  <c r="L86" i="1" a="1"/>
  <c r="L86" i="1" s="1"/>
  <c r="V86" i="1" a="1"/>
  <c r="V86" i="1" s="1"/>
  <c r="P86" i="1" a="1"/>
  <c r="P86" i="1" s="1"/>
  <c r="N86" i="1" a="1"/>
  <c r="N86" i="1" s="1"/>
  <c r="U86" i="1" a="1"/>
  <c r="U86" i="1" s="1"/>
  <c r="M86" i="1" a="1"/>
  <c r="M86" i="1" s="1"/>
  <c r="T86" i="1" a="1"/>
  <c r="T86" i="1" s="1"/>
  <c r="M8" i="1" a="1"/>
  <c r="M8" i="1" s="1"/>
  <c r="U6" i="1" a="1"/>
  <c r="U6" i="1" s="1"/>
  <c r="U8" i="1" a="1"/>
  <c r="U8" i="1" s="1"/>
  <c r="U14" i="1" a="1"/>
  <c r="U14" i="1" s="1"/>
  <c r="N6" i="1" a="1"/>
  <c r="N6" i="1" s="1"/>
  <c r="N8" i="1" a="1"/>
  <c r="N8" i="1" s="1"/>
  <c r="T11" i="1" a="1"/>
  <c r="T11" i="1" s="1"/>
  <c r="L14" i="1" a="1"/>
  <c r="L14" i="1" s="1"/>
  <c r="U22" i="1" a="1"/>
  <c r="U22" i="1" s="1"/>
  <c r="W44" i="1" a="1"/>
  <c r="W44" i="1" s="1"/>
  <c r="Y46" i="1" a="1"/>
  <c r="Y46" i="1" s="1"/>
  <c r="S46" i="1" a="1"/>
  <c r="S46" i="1" s="1"/>
  <c r="M46" i="1" a="1"/>
  <c r="M46" i="1" s="1"/>
  <c r="V46" i="1" a="1"/>
  <c r="V46" i="1" s="1"/>
  <c r="O46" i="1" a="1"/>
  <c r="O46" i="1" s="1"/>
  <c r="U46" i="1" a="1"/>
  <c r="U46" i="1" s="1"/>
  <c r="T46" i="1" a="1"/>
  <c r="T46" i="1" s="1"/>
  <c r="O49" i="1" a="1"/>
  <c r="O49" i="1" s="1"/>
  <c r="U49" i="1" a="1"/>
  <c r="U49" i="1" s="1"/>
  <c r="N49" i="1" a="1"/>
  <c r="N49" i="1" s="1"/>
  <c r="T49" i="1" a="1"/>
  <c r="T49" i="1" s="1"/>
  <c r="S49" i="1" a="1"/>
  <c r="S49" i="1" s="1"/>
  <c r="O54" i="1" a="1"/>
  <c r="O54" i="1" s="1"/>
  <c r="O58" i="1" a="1"/>
  <c r="O58" i="1" s="1"/>
  <c r="T60" i="1" a="1"/>
  <c r="T60" i="1" s="1"/>
  <c r="O61" i="1" a="1"/>
  <c r="O61" i="1" s="1"/>
  <c r="U63" i="1" a="1"/>
  <c r="U63" i="1" s="1"/>
  <c r="U68" i="1" a="1"/>
  <c r="U68" i="1" s="1"/>
  <c r="W82" i="1" a="1"/>
  <c r="W82" i="1" s="1"/>
  <c r="W84" i="1" a="1"/>
  <c r="W84" i="1" s="1"/>
  <c r="W88" i="1" a="1"/>
  <c r="W88" i="1" s="1"/>
  <c r="Q88" i="1" a="1"/>
  <c r="Q88" i="1" s="1"/>
  <c r="U88" i="1" a="1"/>
  <c r="U88" i="1" s="1"/>
  <c r="O88" i="1" a="1"/>
  <c r="O88" i="1" s="1"/>
  <c r="R88" i="1" a="1"/>
  <c r="R88" i="1" s="1"/>
  <c r="P88" i="1" a="1"/>
  <c r="P88" i="1" s="1"/>
  <c r="Y88" i="1" a="1"/>
  <c r="Y88" i="1" s="1"/>
  <c r="X88" i="1" a="1"/>
  <c r="X88" i="1" s="1"/>
  <c r="N88" i="1" a="1"/>
  <c r="N88" i="1" s="1"/>
  <c r="M126" i="1" a="1"/>
  <c r="M126" i="1" s="1"/>
  <c r="T134" i="1" a="1"/>
  <c r="T134" i="1" s="1"/>
  <c r="N134" i="1" a="1"/>
  <c r="N134" i="1" s="1"/>
  <c r="Y134" i="1" a="1"/>
  <c r="Y134" i="1" s="1"/>
  <c r="S134" i="1" a="1"/>
  <c r="S134" i="1" s="1"/>
  <c r="M134" i="1" a="1"/>
  <c r="M134" i="1" s="1"/>
  <c r="R134" i="1" a="1"/>
  <c r="R134" i="1" s="1"/>
  <c r="Q134" i="1" a="1"/>
  <c r="Q134" i="1" s="1"/>
  <c r="W134" i="1" a="1"/>
  <c r="W134" i="1" s="1"/>
  <c r="L134" i="1" a="1"/>
  <c r="L134" i="1" s="1"/>
  <c r="U134" i="1" a="1"/>
  <c r="U134" i="1" s="1"/>
  <c r="P134" i="1" a="1"/>
  <c r="P134" i="1" s="1"/>
  <c r="O134" i="1" a="1"/>
  <c r="O134" i="1" s="1"/>
  <c r="V190" i="1" a="1"/>
  <c r="V190" i="1" s="1"/>
  <c r="O190" i="1" a="1"/>
  <c r="O190" i="1" s="1"/>
  <c r="U190" i="1" a="1"/>
  <c r="U190" i="1" s="1"/>
  <c r="M190" i="1" a="1"/>
  <c r="M190" i="1" s="1"/>
  <c r="Q190" i="1" a="1"/>
  <c r="Q190" i="1" s="1"/>
  <c r="T190" i="1" a="1"/>
  <c r="T190" i="1" s="1"/>
  <c r="R190" i="1" a="1"/>
  <c r="R190" i="1" s="1"/>
  <c r="W190" i="1" a="1"/>
  <c r="W190" i="1" s="1"/>
  <c r="S190" i="1" a="1"/>
  <c r="S190" i="1" s="1"/>
  <c r="P190" i="1" a="1"/>
  <c r="P190" i="1" s="1"/>
  <c r="N190" i="1" a="1"/>
  <c r="N190" i="1" s="1"/>
  <c r="L190" i="1" a="1"/>
  <c r="L190" i="1" s="1"/>
  <c r="V50" i="1" a="1"/>
  <c r="V50" i="1" s="1"/>
  <c r="W59" i="1" a="1"/>
  <c r="W59" i="1" s="1"/>
  <c r="X109" i="1" a="1"/>
  <c r="X109" i="1" s="1"/>
  <c r="Y121" i="1" a="1"/>
  <c r="Y121" i="1" s="1"/>
  <c r="L121" i="1" a="1"/>
  <c r="L121" i="1" s="1"/>
  <c r="R121" i="1" a="1"/>
  <c r="R121" i="1" s="1"/>
  <c r="X121" i="1" a="1"/>
  <c r="X121" i="1" s="1"/>
  <c r="Q121" i="1" a="1"/>
  <c r="Q121" i="1" s="1"/>
  <c r="P121" i="1" a="1"/>
  <c r="P121" i="1" s="1"/>
  <c r="V121" i="1" a="1"/>
  <c r="V121" i="1" s="1"/>
  <c r="N121" i="1" a="1"/>
  <c r="N121" i="1" s="1"/>
  <c r="U121" i="1" a="1"/>
  <c r="U121" i="1" s="1"/>
  <c r="Y165" i="1" a="1"/>
  <c r="Y165" i="1" s="1"/>
  <c r="S165" i="1" a="1"/>
  <c r="S165" i="1" s="1"/>
  <c r="M165" i="1" a="1"/>
  <c r="M165" i="1" s="1"/>
  <c r="R165" i="1" a="1"/>
  <c r="R165" i="1" s="1"/>
  <c r="W165" i="1" a="1"/>
  <c r="W165" i="1" s="1"/>
  <c r="P165" i="1" a="1"/>
  <c r="P165" i="1" s="1"/>
  <c r="O165" i="1" a="1"/>
  <c r="O165" i="1" s="1"/>
  <c r="X165" i="1" a="1"/>
  <c r="X165" i="1" s="1"/>
  <c r="N165" i="1" a="1"/>
  <c r="N165" i="1" s="1"/>
  <c r="V165" i="1" a="1"/>
  <c r="V165" i="1" s="1"/>
  <c r="L165" i="1" a="1"/>
  <c r="L165" i="1" s="1"/>
  <c r="U165" i="1" a="1"/>
  <c r="U165" i="1" s="1"/>
  <c r="T165" i="1" a="1"/>
  <c r="T165" i="1" s="1"/>
  <c r="Y184" i="1" a="1"/>
  <c r="Y184" i="1" s="1"/>
  <c r="S184" i="1" a="1"/>
  <c r="S184" i="1" s="1"/>
  <c r="V184" i="1" a="1"/>
  <c r="V184" i="1" s="1"/>
  <c r="O184" i="1" a="1"/>
  <c r="O184" i="1" s="1"/>
  <c r="U184" i="1" a="1"/>
  <c r="U184" i="1" s="1"/>
  <c r="T184" i="1" a="1"/>
  <c r="T184" i="1" s="1"/>
  <c r="L184" i="1" a="1"/>
  <c r="L184" i="1" s="1"/>
  <c r="Q184" i="1" a="1"/>
  <c r="Q184" i="1" s="1"/>
  <c r="M184" i="1" a="1"/>
  <c r="M184" i="1" s="1"/>
  <c r="X184" i="1" a="1"/>
  <c r="X184" i="1" s="1"/>
  <c r="W184" i="1" a="1"/>
  <c r="W184" i="1" s="1"/>
  <c r="R184" i="1" a="1"/>
  <c r="R184" i="1" s="1"/>
  <c r="P184" i="1" a="1"/>
  <c r="P184" i="1" s="1"/>
  <c r="V196" i="1" a="1"/>
  <c r="V196" i="1" s="1"/>
  <c r="V217" i="1" a="1"/>
  <c r="V217" i="1" s="1"/>
  <c r="O217" i="1" a="1"/>
  <c r="O217" i="1" s="1"/>
  <c r="U217" i="1" a="1"/>
  <c r="U217" i="1" s="1"/>
  <c r="N217" i="1" a="1"/>
  <c r="N217" i="1" s="1"/>
  <c r="X217" i="1" a="1"/>
  <c r="X217" i="1" s="1"/>
  <c r="P217" i="1" a="1"/>
  <c r="P217" i="1" s="1"/>
  <c r="T217" i="1" a="1"/>
  <c r="T217" i="1" s="1"/>
  <c r="L217" i="1" a="1"/>
  <c r="L217" i="1" s="1"/>
  <c r="Y217" i="1" a="1"/>
  <c r="Y217" i="1" s="1"/>
  <c r="W217" i="1" a="1"/>
  <c r="W217" i="1" s="1"/>
  <c r="S217" i="1" a="1"/>
  <c r="S217" i="1" s="1"/>
  <c r="R217" i="1" a="1"/>
  <c r="R217" i="1" s="1"/>
  <c r="Q217" i="1" a="1"/>
  <c r="Q217" i="1" s="1"/>
  <c r="T267" i="1" a="1"/>
  <c r="T267" i="1" s="1"/>
  <c r="M267" i="1" a="1"/>
  <c r="M267" i="1" s="1"/>
  <c r="Y267" i="1" a="1"/>
  <c r="Y267" i="1" s="1"/>
  <c r="S267" i="1" a="1"/>
  <c r="S267" i="1" s="1"/>
  <c r="L267" i="1" a="1"/>
  <c r="L267" i="1" s="1"/>
  <c r="R267" i="1" a="1"/>
  <c r="R267" i="1" s="1"/>
  <c r="Q267" i="1" a="1"/>
  <c r="Q267" i="1" s="1"/>
  <c r="W267" i="1" a="1"/>
  <c r="W267" i="1" s="1"/>
  <c r="X267" i="1" a="1"/>
  <c r="X267" i="1" s="1"/>
  <c r="U267" i="1" a="1"/>
  <c r="U267" i="1" s="1"/>
  <c r="P267" i="1" a="1"/>
  <c r="P267" i="1" s="1"/>
  <c r="N267" i="1" a="1"/>
  <c r="N267" i="1" s="1"/>
  <c r="V267" i="1" a="1"/>
  <c r="V267" i="1" s="1"/>
  <c r="P13" i="1" a="1"/>
  <c r="P13" i="1" s="1"/>
  <c r="V13" i="1" a="1"/>
  <c r="V13" i="1" s="1"/>
  <c r="Q50" i="1" a="1"/>
  <c r="Q50" i="1" s="1"/>
  <c r="V53" i="1" a="1"/>
  <c r="V53" i="1" s="1"/>
  <c r="X59" i="1" a="1"/>
  <c r="X59" i="1" s="1"/>
  <c r="L80" i="1" a="1"/>
  <c r="L80" i="1" s="1"/>
  <c r="O94" i="1" a="1"/>
  <c r="O94" i="1" s="1"/>
  <c r="P105" i="1" a="1"/>
  <c r="P105" i="1" s="1"/>
  <c r="W121" i="1" a="1"/>
  <c r="W121" i="1" s="1"/>
  <c r="P10" i="1" a="1"/>
  <c r="P10" i="1" s="1"/>
  <c r="P28" i="1" a="1"/>
  <c r="P28" i="1" s="1"/>
  <c r="X48" i="1" a="1"/>
  <c r="X48" i="1" s="1"/>
  <c r="R48" i="1" a="1"/>
  <c r="R48" i="1" s="1"/>
  <c r="L48" i="1" a="1"/>
  <c r="L48" i="1" s="1"/>
  <c r="W48" i="1" a="1"/>
  <c r="W48" i="1" s="1"/>
  <c r="X50" i="1" a="1"/>
  <c r="X50" i="1" s="1"/>
  <c r="P53" i="1" a="1"/>
  <c r="P53" i="1" s="1"/>
  <c r="R59" i="1" a="1"/>
  <c r="R59" i="1" s="1"/>
  <c r="P62" i="1" a="1"/>
  <c r="P62" i="1" s="1"/>
  <c r="W62" i="1" a="1"/>
  <c r="W62" i="1" s="1"/>
  <c r="Y89" i="1" a="1"/>
  <c r="Y89" i="1" s="1"/>
  <c r="S89" i="1" a="1"/>
  <c r="S89" i="1" s="1"/>
  <c r="M89" i="1" a="1"/>
  <c r="M89" i="1" s="1"/>
  <c r="W89" i="1" a="1"/>
  <c r="W89" i="1" s="1"/>
  <c r="Q89" i="1" a="1"/>
  <c r="Q89" i="1" s="1"/>
  <c r="T159" i="1" a="1"/>
  <c r="T159" i="1" s="1"/>
  <c r="N159" i="1" a="1"/>
  <c r="N159" i="1" s="1"/>
  <c r="S159" i="1" a="1"/>
  <c r="S159" i="1" s="1"/>
  <c r="L159" i="1" a="1"/>
  <c r="L159" i="1" s="1"/>
  <c r="Y159" i="1" a="1"/>
  <c r="Y159" i="1" s="1"/>
  <c r="R159" i="1" a="1"/>
  <c r="R159" i="1" s="1"/>
  <c r="O159" i="1" a="1"/>
  <c r="O159" i="1" s="1"/>
  <c r="X159" i="1" a="1"/>
  <c r="X159" i="1" s="1"/>
  <c r="W159" i="1" a="1"/>
  <c r="W159" i="1" s="1"/>
  <c r="M159" i="1" a="1"/>
  <c r="M159" i="1" s="1"/>
  <c r="V159" i="1" a="1"/>
  <c r="V159" i="1" s="1"/>
  <c r="Q165" i="1" a="1"/>
  <c r="Q165" i="1" s="1"/>
  <c r="X167" i="1" a="1"/>
  <c r="X167" i="1" s="1"/>
  <c r="R167" i="1" a="1"/>
  <c r="R167" i="1" s="1"/>
  <c r="L167" i="1" a="1"/>
  <c r="L167" i="1" s="1"/>
  <c r="W167" i="1" a="1"/>
  <c r="W167" i="1" s="1"/>
  <c r="P167" i="1" a="1"/>
  <c r="P167" i="1" s="1"/>
  <c r="U167" i="1" a="1"/>
  <c r="U167" i="1" s="1"/>
  <c r="N167" i="1" a="1"/>
  <c r="N167" i="1" s="1"/>
  <c r="Y167" i="1" a="1"/>
  <c r="Y167" i="1" s="1"/>
  <c r="M167" i="1" a="1"/>
  <c r="M167" i="1" s="1"/>
  <c r="S167" i="1" a="1"/>
  <c r="S167" i="1" s="1"/>
  <c r="Q167" i="1" a="1"/>
  <c r="Q167" i="1" s="1"/>
  <c r="N184" i="1" a="1"/>
  <c r="N184" i="1" s="1"/>
  <c r="T255" i="1" a="1"/>
  <c r="T255" i="1" s="1"/>
  <c r="M255" i="1" a="1"/>
  <c r="M255" i="1" s="1"/>
  <c r="W255" i="1" a="1"/>
  <c r="W255" i="1" s="1"/>
  <c r="P255" i="1" a="1"/>
  <c r="P255" i="1" s="1"/>
  <c r="V255" i="1" a="1"/>
  <c r="V255" i="1" s="1"/>
  <c r="N255" i="1" a="1"/>
  <c r="N255" i="1" s="1"/>
  <c r="S255" i="1" a="1"/>
  <c r="S255" i="1" s="1"/>
  <c r="R255" i="1" a="1"/>
  <c r="R255" i="1" s="1"/>
  <c r="Y255" i="1" a="1"/>
  <c r="Y255" i="1" s="1"/>
  <c r="L255" i="1" a="1"/>
  <c r="L255" i="1" s="1"/>
  <c r="U255" i="1" a="1"/>
  <c r="U255" i="1" s="1"/>
  <c r="Q255" i="1" a="1"/>
  <c r="Q255" i="1" s="1"/>
  <c r="X255" i="1" a="1"/>
  <c r="X255" i="1" s="1"/>
  <c r="P7" i="1" a="1"/>
  <c r="P7" i="1" s="1"/>
  <c r="Q13" i="1" a="1"/>
  <c r="Q13" i="1" s="1"/>
  <c r="R15" i="1" a="1"/>
  <c r="R15" i="1" s="1"/>
  <c r="Q48" i="1" a="1"/>
  <c r="Q48" i="1" s="1"/>
  <c r="L59" i="1" a="1"/>
  <c r="L59" i="1" s="1"/>
  <c r="R89" i="1" a="1"/>
  <c r="R89" i="1" s="1"/>
  <c r="Q107" i="1" a="1"/>
  <c r="Q107" i="1" s="1"/>
  <c r="T107" i="1" a="1"/>
  <c r="T107" i="1" s="1"/>
  <c r="Y107" i="1" a="1"/>
  <c r="Y107" i="1" s="1"/>
  <c r="R107" i="1" a="1"/>
  <c r="R107" i="1" s="1"/>
  <c r="M121" i="1" a="1"/>
  <c r="M121" i="1" s="1"/>
  <c r="S141" i="1" a="1"/>
  <c r="S141" i="1" s="1"/>
  <c r="X192" i="1" a="1"/>
  <c r="X192" i="1" s="1"/>
  <c r="V98" i="1" a="1"/>
  <c r="V98" i="1" s="1"/>
  <c r="O98" i="1" a="1"/>
  <c r="O98" i="1" s="1"/>
  <c r="Q98" i="1" a="1"/>
  <c r="Q98" i="1" s="1"/>
  <c r="X98" i="1" a="1"/>
  <c r="X98" i="1" s="1"/>
  <c r="T101" i="1" a="1"/>
  <c r="T101" i="1" s="1"/>
  <c r="Q101" i="1" a="1"/>
  <c r="Q101" i="1" s="1"/>
  <c r="U118" i="1" a="1"/>
  <c r="U118" i="1" s="1"/>
  <c r="O118" i="1" a="1"/>
  <c r="O118" i="1" s="1"/>
  <c r="S118" i="1" a="1"/>
  <c r="S118" i="1" s="1"/>
  <c r="U132" i="1" a="1"/>
  <c r="U132" i="1" s="1"/>
  <c r="O132" i="1" a="1"/>
  <c r="O132" i="1" s="1"/>
  <c r="V132" i="1" a="1"/>
  <c r="V132" i="1" s="1"/>
  <c r="N132" i="1" a="1"/>
  <c r="N132" i="1" s="1"/>
  <c r="T132" i="1" a="1"/>
  <c r="T132" i="1" s="1"/>
  <c r="M132" i="1" a="1"/>
  <c r="M132" i="1" s="1"/>
  <c r="S132" i="1" a="1"/>
  <c r="S132" i="1" s="1"/>
  <c r="L132" i="1" a="1"/>
  <c r="L132" i="1" s="1"/>
  <c r="U157" i="1" a="1"/>
  <c r="U157" i="1" s="1"/>
  <c r="O157" i="1" a="1"/>
  <c r="O157" i="1" s="1"/>
  <c r="V157" i="1" a="1"/>
  <c r="V157" i="1" s="1"/>
  <c r="N157" i="1" a="1"/>
  <c r="N157" i="1" s="1"/>
  <c r="T157" i="1" a="1"/>
  <c r="T157" i="1" s="1"/>
  <c r="M157" i="1" a="1"/>
  <c r="M157" i="1" s="1"/>
  <c r="Y157" i="1" a="1"/>
  <c r="Y157" i="1" s="1"/>
  <c r="P157" i="1" a="1"/>
  <c r="P157" i="1" s="1"/>
  <c r="X157" i="1" a="1"/>
  <c r="X157" i="1" s="1"/>
  <c r="W157" i="1" a="1"/>
  <c r="W157" i="1" s="1"/>
  <c r="W169" i="1" a="1"/>
  <c r="W169" i="1" s="1"/>
  <c r="Q169" i="1" a="1"/>
  <c r="Q169" i="1" s="1"/>
  <c r="U169" i="1" a="1"/>
  <c r="U169" i="1" s="1"/>
  <c r="N169" i="1" a="1"/>
  <c r="N169" i="1" s="1"/>
  <c r="T169" i="1" a="1"/>
  <c r="T169" i="1" s="1"/>
  <c r="M169" i="1" a="1"/>
  <c r="M169" i="1" s="1"/>
  <c r="Y169" i="1" a="1"/>
  <c r="Y169" i="1" s="1"/>
  <c r="O169" i="1" a="1"/>
  <c r="O169" i="1" s="1"/>
  <c r="L169" i="1" a="1"/>
  <c r="L169" i="1" s="1"/>
  <c r="X170" i="1" a="1"/>
  <c r="X170" i="1" s="1"/>
  <c r="R170" i="1" a="1"/>
  <c r="R170" i="1" s="1"/>
  <c r="L170" i="1" a="1"/>
  <c r="L170" i="1" s="1"/>
  <c r="S170" i="1" a="1"/>
  <c r="S170" i="1" s="1"/>
  <c r="W170" i="1" a="1"/>
  <c r="W170" i="1" s="1"/>
  <c r="P170" i="1" a="1"/>
  <c r="P170" i="1" s="1"/>
  <c r="T170" i="1" a="1"/>
  <c r="T170" i="1" s="1"/>
  <c r="Q170" i="1" a="1"/>
  <c r="Q170" i="1" s="1"/>
  <c r="O170" i="1" a="1"/>
  <c r="O170" i="1" s="1"/>
  <c r="O205" i="1" a="1"/>
  <c r="O205" i="1" s="1"/>
  <c r="X234" i="1" a="1"/>
  <c r="X234" i="1" s="1"/>
  <c r="U174" i="1" a="1"/>
  <c r="U174" i="1" s="1"/>
  <c r="O174" i="1" a="1"/>
  <c r="O174" i="1" s="1"/>
  <c r="T174" i="1" a="1"/>
  <c r="T174" i="1" s="1"/>
  <c r="V174" i="1" a="1"/>
  <c r="V174" i="1" s="1"/>
  <c r="R174" i="1" a="1"/>
  <c r="R174" i="1" s="1"/>
  <c r="S174" i="1" a="1"/>
  <c r="S174" i="1" s="1"/>
  <c r="Y216" i="1" a="1"/>
  <c r="Y216" i="1" s="1"/>
  <c r="S216" i="1" a="1"/>
  <c r="S216" i="1" s="1"/>
  <c r="M216" i="1" a="1"/>
  <c r="M216" i="1" s="1"/>
  <c r="X216" i="1" a="1"/>
  <c r="X216" i="1" s="1"/>
  <c r="R216" i="1" a="1"/>
  <c r="R216" i="1" s="1"/>
  <c r="L216" i="1" a="1"/>
  <c r="L216" i="1" s="1"/>
  <c r="W216" i="1" a="1"/>
  <c r="W216" i="1" s="1"/>
  <c r="O216" i="1" a="1"/>
  <c r="O216" i="1" s="1"/>
  <c r="V216" i="1" a="1"/>
  <c r="V216" i="1" s="1"/>
  <c r="P216" i="1" a="1"/>
  <c r="P216" i="1" s="1"/>
  <c r="N216" i="1" a="1"/>
  <c r="N216" i="1" s="1"/>
  <c r="U216" i="1" a="1"/>
  <c r="U216" i="1" s="1"/>
  <c r="T216" i="1" a="1"/>
  <c r="T216" i="1" s="1"/>
  <c r="Q216" i="1" a="1"/>
  <c r="Q216" i="1" s="1"/>
  <c r="P83" i="1" a="1"/>
  <c r="P83" i="1" s="1"/>
  <c r="V83" i="1" a="1"/>
  <c r="V83" i="1" s="1"/>
  <c r="L101" i="1" a="1"/>
  <c r="L101" i="1" s="1"/>
  <c r="S101" i="1" a="1"/>
  <c r="S101" i="1" s="1"/>
  <c r="Y102" i="1" a="1"/>
  <c r="Y102" i="1" s="1"/>
  <c r="S102" i="1" a="1"/>
  <c r="S102" i="1" s="1"/>
  <c r="M102" i="1" a="1"/>
  <c r="M102" i="1" s="1"/>
  <c r="W102" i="1" a="1"/>
  <c r="W102" i="1" s="1"/>
  <c r="P102" i="1" a="1"/>
  <c r="P102" i="1" s="1"/>
  <c r="R118" i="1" a="1"/>
  <c r="R118" i="1" s="1"/>
  <c r="Y118" i="1" a="1"/>
  <c r="Y118" i="1" s="1"/>
  <c r="Y122" i="1" a="1"/>
  <c r="Y122" i="1" s="1"/>
  <c r="S122" i="1" a="1"/>
  <c r="S122" i="1" s="1"/>
  <c r="M122" i="1" a="1"/>
  <c r="M122" i="1" s="1"/>
  <c r="P122" i="1" a="1"/>
  <c r="P122" i="1" s="1"/>
  <c r="V122" i="1" a="1"/>
  <c r="V122" i="1" s="1"/>
  <c r="O122" i="1" a="1"/>
  <c r="O122" i="1" s="1"/>
  <c r="R122" i="1" a="1"/>
  <c r="R122" i="1" s="1"/>
  <c r="W127" i="1" a="1"/>
  <c r="W127" i="1" s="1"/>
  <c r="L157" i="1" a="1"/>
  <c r="L157" i="1" s="1"/>
  <c r="P169" i="1" a="1"/>
  <c r="P169" i="1" s="1"/>
  <c r="M170" i="1" a="1"/>
  <c r="M170" i="1" s="1"/>
  <c r="V187" i="1" a="1"/>
  <c r="V187" i="1" s="1"/>
  <c r="O187" i="1" a="1"/>
  <c r="O187" i="1" s="1"/>
  <c r="U187" i="1" a="1"/>
  <c r="U187" i="1" s="1"/>
  <c r="M187" i="1" a="1"/>
  <c r="M187" i="1" s="1"/>
  <c r="Q187" i="1" a="1"/>
  <c r="Q187" i="1" s="1"/>
  <c r="Y187" i="1" a="1"/>
  <c r="Y187" i="1" s="1"/>
  <c r="P187" i="1" a="1"/>
  <c r="P187" i="1" s="1"/>
  <c r="N187" i="1" a="1"/>
  <c r="N187" i="1" s="1"/>
  <c r="L187" i="1" a="1"/>
  <c r="L187" i="1" s="1"/>
  <c r="Y213" i="1" a="1"/>
  <c r="Y213" i="1" s="1"/>
  <c r="S213" i="1" a="1"/>
  <c r="S213" i="1" s="1"/>
  <c r="M213" i="1" a="1"/>
  <c r="M213" i="1" s="1"/>
  <c r="X213" i="1" a="1"/>
  <c r="X213" i="1" s="1"/>
  <c r="R213" i="1" a="1"/>
  <c r="R213" i="1" s="1"/>
  <c r="L213" i="1" a="1"/>
  <c r="L213" i="1" s="1"/>
  <c r="P213" i="1" a="1"/>
  <c r="P213" i="1" s="1"/>
  <c r="W213" i="1" a="1"/>
  <c r="W213" i="1" s="1"/>
  <c r="N213" i="1" a="1"/>
  <c r="N213" i="1" s="1"/>
  <c r="Q213" i="1" a="1"/>
  <c r="Q213" i="1" s="1"/>
  <c r="O213" i="1" a="1"/>
  <c r="O213" i="1" s="1"/>
  <c r="W229" i="1" a="1"/>
  <c r="W229" i="1" s="1"/>
  <c r="P229" i="1" a="1"/>
  <c r="P229" i="1" s="1"/>
  <c r="S229" i="1" a="1"/>
  <c r="S229" i="1" s="1"/>
  <c r="L229" i="1" a="1"/>
  <c r="L229" i="1" s="1"/>
  <c r="X229" i="1" a="1"/>
  <c r="X229" i="1" s="1"/>
  <c r="Q229" i="1" a="1"/>
  <c r="Q229" i="1" s="1"/>
  <c r="U229" i="1" a="1"/>
  <c r="U229" i="1" s="1"/>
  <c r="T229" i="1" a="1"/>
  <c r="T229" i="1" s="1"/>
  <c r="O229" i="1" a="1"/>
  <c r="O229" i="1" s="1"/>
  <c r="N229" i="1" a="1"/>
  <c r="N229" i="1" s="1"/>
  <c r="M229" i="1" a="1"/>
  <c r="M229" i="1" s="1"/>
  <c r="V229" i="1" a="1"/>
  <c r="V229" i="1" s="1"/>
  <c r="R229" i="1" a="1"/>
  <c r="R229" i="1" s="1"/>
  <c r="L98" i="1" a="1"/>
  <c r="L98" i="1" s="1"/>
  <c r="S98" i="1" a="1"/>
  <c r="S98" i="1" s="1"/>
  <c r="Q102" i="1" a="1"/>
  <c r="Q102" i="1" s="1"/>
  <c r="X102" i="1" a="1"/>
  <c r="X102" i="1" s="1"/>
  <c r="O105" i="1" a="1"/>
  <c r="O105" i="1" s="1"/>
  <c r="Q105" i="1" a="1"/>
  <c r="Q105" i="1" s="1"/>
  <c r="X105" i="1" a="1"/>
  <c r="X105" i="1" s="1"/>
  <c r="M109" i="1" a="1"/>
  <c r="M109" i="1" s="1"/>
  <c r="Q109" i="1" a="1"/>
  <c r="Q109" i="1" s="1"/>
  <c r="W119" i="1" a="1"/>
  <c r="W119" i="1" s="1"/>
  <c r="O130" i="1" a="1"/>
  <c r="O130" i="1" s="1"/>
  <c r="X132" i="1" a="1"/>
  <c r="X132" i="1" s="1"/>
  <c r="U137" i="1" a="1"/>
  <c r="U137" i="1" s="1"/>
  <c r="O137" i="1" a="1"/>
  <c r="O137" i="1" s="1"/>
  <c r="Y137" i="1" a="1"/>
  <c r="Y137" i="1" s="1"/>
  <c r="S137" i="1" a="1"/>
  <c r="S137" i="1" s="1"/>
  <c r="M137" i="1" a="1"/>
  <c r="M137" i="1" s="1"/>
  <c r="N137" i="1" a="1"/>
  <c r="N137" i="1" s="1"/>
  <c r="W137" i="1" a="1"/>
  <c r="W137" i="1" s="1"/>
  <c r="T137" i="1" a="1"/>
  <c r="T137" i="1" s="1"/>
  <c r="X137" i="1" a="1"/>
  <c r="X137" i="1" s="1"/>
  <c r="Q83" i="1" a="1"/>
  <c r="Q83" i="1" s="1"/>
  <c r="P85" i="1" a="1"/>
  <c r="P85" i="1" s="1"/>
  <c r="M101" i="1" a="1"/>
  <c r="M101" i="1" s="1"/>
  <c r="R109" i="1" a="1"/>
  <c r="R109" i="1" s="1"/>
  <c r="Y109" i="1" a="1"/>
  <c r="Y109" i="1" s="1"/>
  <c r="L118" i="1" a="1"/>
  <c r="L118" i="1" s="1"/>
  <c r="T120" i="1" a="1"/>
  <c r="T120" i="1" s="1"/>
  <c r="N120" i="1" a="1"/>
  <c r="N120" i="1" s="1"/>
  <c r="O120" i="1" a="1"/>
  <c r="O120" i="1" s="1"/>
  <c r="U120" i="1" a="1"/>
  <c r="U120" i="1" s="1"/>
  <c r="Y120" i="1" a="1"/>
  <c r="Y120" i="1" s="1"/>
  <c r="Q157" i="1" a="1"/>
  <c r="Q157" i="1" s="1"/>
  <c r="R169" i="1" a="1"/>
  <c r="R169" i="1" s="1"/>
  <c r="N170" i="1" a="1"/>
  <c r="N170" i="1" s="1"/>
  <c r="R186" i="1" a="1"/>
  <c r="R186" i="1" s="1"/>
  <c r="X275" i="1" a="1"/>
  <c r="X275" i="1" s="1"/>
  <c r="X124" i="1" a="1"/>
  <c r="X124" i="1" s="1"/>
  <c r="R124" i="1" a="1"/>
  <c r="R124" i="1" s="1"/>
  <c r="L124" i="1" a="1"/>
  <c r="L124" i="1" s="1"/>
  <c r="W124" i="1" a="1"/>
  <c r="W124" i="1" s="1"/>
  <c r="V127" i="1" a="1"/>
  <c r="V127" i="1" s="1"/>
  <c r="T142" i="1" a="1"/>
  <c r="T142" i="1" s="1"/>
  <c r="S142" i="1" a="1"/>
  <c r="S142" i="1" s="1"/>
  <c r="C169" i="1"/>
  <c r="C160" i="1"/>
  <c r="C155" i="1"/>
  <c r="C151" i="1"/>
  <c r="C171" i="1"/>
  <c r="C166" i="1"/>
  <c r="C165" i="1"/>
  <c r="C162" i="1"/>
  <c r="C154" i="1"/>
  <c r="C152" i="1"/>
  <c r="Y201" i="1" a="1"/>
  <c r="Y201" i="1" s="1"/>
  <c r="S201" i="1" a="1"/>
  <c r="S201" i="1" s="1"/>
  <c r="M201" i="1" a="1"/>
  <c r="M201" i="1" s="1"/>
  <c r="W201" i="1" a="1"/>
  <c r="W201" i="1" s="1"/>
  <c r="P201" i="1" a="1"/>
  <c r="P201" i="1" s="1"/>
  <c r="V201" i="1" a="1"/>
  <c r="V201" i="1" s="1"/>
  <c r="O201" i="1" a="1"/>
  <c r="O201" i="1" s="1"/>
  <c r="X201" i="1" a="1"/>
  <c r="X201" i="1" s="1"/>
  <c r="L201" i="1" a="1"/>
  <c r="L201" i="1" s="1"/>
  <c r="U202" i="1" a="1"/>
  <c r="U202" i="1" s="1"/>
  <c r="O202" i="1" a="1"/>
  <c r="O202" i="1" s="1"/>
  <c r="T202" i="1" a="1"/>
  <c r="T202" i="1" s="1"/>
  <c r="M202" i="1" a="1"/>
  <c r="M202" i="1" s="1"/>
  <c r="Y202" i="1" a="1"/>
  <c r="Y202" i="1" s="1"/>
  <c r="R202" i="1" a="1"/>
  <c r="R202" i="1" s="1"/>
  <c r="Q202" i="1" a="1"/>
  <c r="Q202" i="1" s="1"/>
  <c r="X202" i="1" a="1"/>
  <c r="X202" i="1" s="1"/>
  <c r="N202" i="1" a="1"/>
  <c r="N202" i="1" s="1"/>
  <c r="Q124" i="1" a="1"/>
  <c r="Q124" i="1" s="1"/>
  <c r="P127" i="1" a="1"/>
  <c r="P127" i="1" s="1"/>
  <c r="U142" i="1" a="1"/>
  <c r="U142" i="1" s="1"/>
  <c r="T150" i="1" a="1"/>
  <c r="T150" i="1" s="1"/>
  <c r="N150" i="1" a="1"/>
  <c r="N150" i="1" s="1"/>
  <c r="Y150" i="1" a="1"/>
  <c r="Y150" i="1" s="1"/>
  <c r="S150" i="1" a="1"/>
  <c r="S150" i="1" s="1"/>
  <c r="M150" i="1" a="1"/>
  <c r="M150" i="1" s="1"/>
  <c r="R150" i="1" a="1"/>
  <c r="R150" i="1" s="1"/>
  <c r="T154" i="1" a="1"/>
  <c r="T154" i="1" s="1"/>
  <c r="M154" i="1" a="1"/>
  <c r="M154" i="1" s="1"/>
  <c r="S154" i="1" a="1"/>
  <c r="S154" i="1" s="1"/>
  <c r="Y154" i="1" a="1"/>
  <c r="Y154" i="1" s="1"/>
  <c r="L154" i="1" a="1"/>
  <c r="L154" i="1" s="1"/>
  <c r="Q154" i="1" a="1"/>
  <c r="Q154" i="1" s="1"/>
  <c r="U154" i="1" a="1"/>
  <c r="U154" i="1" s="1"/>
  <c r="V164" i="1" a="1"/>
  <c r="V164" i="1" s="1"/>
  <c r="P164" i="1" a="1"/>
  <c r="P164" i="1" s="1"/>
  <c r="T164" i="1" a="1"/>
  <c r="T164" i="1" s="1"/>
  <c r="M164" i="1" a="1"/>
  <c r="M164" i="1" s="1"/>
  <c r="S164" i="1" a="1"/>
  <c r="S164" i="1" s="1"/>
  <c r="L164" i="1" a="1"/>
  <c r="L164" i="1" s="1"/>
  <c r="T168" i="1" a="1"/>
  <c r="T168" i="1" s="1"/>
  <c r="N168" i="1" a="1"/>
  <c r="N168" i="1" s="1"/>
  <c r="W168" i="1" a="1"/>
  <c r="W168" i="1" s="1"/>
  <c r="P168" i="1" a="1"/>
  <c r="P168" i="1" s="1"/>
  <c r="V168" i="1" a="1"/>
  <c r="V168" i="1" s="1"/>
  <c r="O168" i="1" a="1"/>
  <c r="O168" i="1" s="1"/>
  <c r="S168" i="1" a="1"/>
  <c r="S168" i="1" s="1"/>
  <c r="O203" i="1" a="1"/>
  <c r="O203" i="1" s="1"/>
  <c r="V141" i="1" a="1"/>
  <c r="V141" i="1" s="1"/>
  <c r="P141" i="1" a="1"/>
  <c r="P141" i="1" s="1"/>
  <c r="T141" i="1" a="1"/>
  <c r="T141" i="1" s="1"/>
  <c r="C150" i="1"/>
  <c r="C168" i="1"/>
  <c r="T196" i="1" a="1"/>
  <c r="T196" i="1" s="1"/>
  <c r="M196" i="1" a="1"/>
  <c r="M196" i="1" s="1"/>
  <c r="S196" i="1" a="1"/>
  <c r="S196" i="1" s="1"/>
  <c r="L196" i="1" a="1"/>
  <c r="L196" i="1" s="1"/>
  <c r="Q196" i="1" a="1"/>
  <c r="Q196" i="1" s="1"/>
  <c r="X196" i="1" a="1"/>
  <c r="X196" i="1" s="1"/>
  <c r="O196" i="1" a="1"/>
  <c r="O196" i="1" s="1"/>
  <c r="W196" i="1" a="1"/>
  <c r="W196" i="1" s="1"/>
  <c r="N196" i="1" a="1"/>
  <c r="N196" i="1" s="1"/>
  <c r="U196" i="1" a="1"/>
  <c r="U196" i="1" s="1"/>
  <c r="Y196" i="1" a="1"/>
  <c r="Y196" i="1" s="1"/>
  <c r="N201" i="1" a="1"/>
  <c r="N201" i="1" s="1"/>
  <c r="X158" i="1" a="1"/>
  <c r="X158" i="1" s="1"/>
  <c r="R158" i="1" a="1"/>
  <c r="R158" i="1" s="1"/>
  <c r="L158" i="1" a="1"/>
  <c r="L158" i="1" s="1"/>
  <c r="Q158" i="1" a="1"/>
  <c r="Q158" i="1" s="1"/>
  <c r="Y158" i="1" a="1"/>
  <c r="Y158" i="1" s="1"/>
  <c r="U185" i="1" a="1"/>
  <c r="U185" i="1" s="1"/>
  <c r="O185" i="1" a="1"/>
  <c r="O185" i="1" s="1"/>
  <c r="S185" i="1" a="1"/>
  <c r="S185" i="1" s="1"/>
  <c r="Y185" i="1" a="1"/>
  <c r="Y185" i="1" s="1"/>
  <c r="L185" i="1" a="1"/>
  <c r="L185" i="1" s="1"/>
  <c r="R185" i="1" a="1"/>
  <c r="R185" i="1" s="1"/>
  <c r="U224" i="1" a="1"/>
  <c r="U224" i="1" s="1"/>
  <c r="O224" i="1" a="1"/>
  <c r="O224" i="1" s="1"/>
  <c r="M224" i="1" a="1"/>
  <c r="M224" i="1" s="1"/>
  <c r="V224" i="1" a="1"/>
  <c r="V224" i="1" s="1"/>
  <c r="N224" i="1" a="1"/>
  <c r="N224" i="1" s="1"/>
  <c r="S224" i="1" a="1"/>
  <c r="S224" i="1" s="1"/>
  <c r="L224" i="1" a="1"/>
  <c r="L224" i="1" s="1"/>
  <c r="Y224" i="1" a="1"/>
  <c r="Y224" i="1" s="1"/>
  <c r="P224" i="1" a="1"/>
  <c r="P224" i="1" s="1"/>
  <c r="X224" i="1" a="1"/>
  <c r="X224" i="1" s="1"/>
  <c r="V259" i="1" a="1"/>
  <c r="V259" i="1" s="1"/>
  <c r="P259" i="1" a="1"/>
  <c r="P259" i="1" s="1"/>
  <c r="T259" i="1" a="1"/>
  <c r="T259" i="1" s="1"/>
  <c r="L259" i="1" a="1"/>
  <c r="L259" i="1" s="1"/>
  <c r="Q259" i="1" a="1"/>
  <c r="Q259" i="1" s="1"/>
  <c r="Y259" i="1" a="1"/>
  <c r="Y259" i="1" s="1"/>
  <c r="M259" i="1" a="1"/>
  <c r="M259" i="1" s="1"/>
  <c r="U259" i="1" a="1"/>
  <c r="U259" i="1" s="1"/>
  <c r="S259" i="1" a="1"/>
  <c r="S259" i="1" s="1"/>
  <c r="N259" i="1" a="1"/>
  <c r="N259" i="1" s="1"/>
  <c r="O225" i="1" a="1"/>
  <c r="O225" i="1" s="1"/>
  <c r="U240" i="1" a="1"/>
  <c r="U240" i="1" s="1"/>
  <c r="O240" i="1" a="1"/>
  <c r="O240" i="1" s="1"/>
  <c r="T240" i="1" a="1"/>
  <c r="T240" i="1" s="1"/>
  <c r="M240" i="1" a="1"/>
  <c r="M240" i="1" s="1"/>
  <c r="X240" i="1" a="1"/>
  <c r="X240" i="1" s="1"/>
  <c r="P240" i="1" a="1"/>
  <c r="P240" i="1" s="1"/>
  <c r="W240" i="1" a="1"/>
  <c r="W240" i="1" s="1"/>
  <c r="N240" i="1" a="1"/>
  <c r="N240" i="1" s="1"/>
  <c r="Y240" i="1" a="1"/>
  <c r="Y240" i="1" s="1"/>
  <c r="L240" i="1" a="1"/>
  <c r="L240" i="1" s="1"/>
  <c r="V240" i="1" a="1"/>
  <c r="V240" i="1" s="1"/>
  <c r="V254" i="1" a="1"/>
  <c r="V254" i="1" s="1"/>
  <c r="P254" i="1" a="1"/>
  <c r="P254" i="1" s="1"/>
  <c r="W254" i="1" a="1"/>
  <c r="W254" i="1" s="1"/>
  <c r="N254" i="1" a="1"/>
  <c r="N254" i="1" s="1"/>
  <c r="Y254" i="1" a="1"/>
  <c r="Y254" i="1" s="1"/>
  <c r="M254" i="1" a="1"/>
  <c r="M254" i="1" s="1"/>
  <c r="X254" i="1" a="1"/>
  <c r="X254" i="1" s="1"/>
  <c r="L254" i="1" a="1"/>
  <c r="L254" i="1" s="1"/>
  <c r="T254" i="1" a="1"/>
  <c r="T254" i="1" s="1"/>
  <c r="Q254" i="1" a="1"/>
  <c r="Q254" i="1" s="1"/>
  <c r="U254" i="1" a="1"/>
  <c r="U254" i="1" s="1"/>
  <c r="U166" i="1" a="1"/>
  <c r="U166" i="1" s="1"/>
  <c r="O166" i="1" a="1"/>
  <c r="O166" i="1" s="1"/>
  <c r="Q166" i="1" a="1"/>
  <c r="Q166" i="1" s="1"/>
  <c r="X166" i="1" a="1"/>
  <c r="X166" i="1" s="1"/>
  <c r="V182" i="1" a="1"/>
  <c r="V182" i="1" s="1"/>
  <c r="Y183" i="1" a="1"/>
  <c r="Y183" i="1" s="1"/>
  <c r="S183" i="1" a="1"/>
  <c r="S183" i="1" s="1"/>
  <c r="M183" i="1" a="1"/>
  <c r="M183" i="1" s="1"/>
  <c r="X183" i="1" a="1"/>
  <c r="X183" i="1" s="1"/>
  <c r="R183" i="1" a="1"/>
  <c r="R183" i="1" s="1"/>
  <c r="L183" i="1" a="1"/>
  <c r="L183" i="1" s="1"/>
  <c r="T191" i="1" a="1"/>
  <c r="T191" i="1" s="1"/>
  <c r="M191" i="1" a="1"/>
  <c r="M191" i="1" s="1"/>
  <c r="S191" i="1" a="1"/>
  <c r="S191" i="1" s="1"/>
  <c r="X191" i="1" a="1"/>
  <c r="X191" i="1" s="1"/>
  <c r="W231" i="1" a="1"/>
  <c r="W231" i="1" s="1"/>
  <c r="V231" i="1" a="1"/>
  <c r="V231" i="1" s="1"/>
  <c r="O231" i="1" a="1"/>
  <c r="O231" i="1" s="1"/>
  <c r="N231" i="1" a="1"/>
  <c r="N231" i="1" s="1"/>
  <c r="U231" i="1" a="1"/>
  <c r="U231" i="1" s="1"/>
  <c r="S231" i="1" a="1"/>
  <c r="S231" i="1" s="1"/>
  <c r="L231" i="1" a="1"/>
  <c r="L231" i="1" s="1"/>
  <c r="Q231" i="1" a="1"/>
  <c r="Q231" i="1" s="1"/>
  <c r="P231" i="1" a="1"/>
  <c r="P231" i="1" s="1"/>
  <c r="Y231" i="1" a="1"/>
  <c r="Y231" i="1" s="1"/>
  <c r="X231" i="1" a="1"/>
  <c r="X231" i="1" s="1"/>
  <c r="L252" i="1" a="1"/>
  <c r="L252" i="1" s="1"/>
  <c r="V266" i="1" a="1"/>
  <c r="V266" i="1" s="1"/>
  <c r="P266" i="1" a="1"/>
  <c r="P266" i="1" s="1"/>
  <c r="Y266" i="1" a="1"/>
  <c r="Y266" i="1" s="1"/>
  <c r="Q266" i="1" a="1"/>
  <c r="Q266" i="1" s="1"/>
  <c r="X266" i="1" a="1"/>
  <c r="X266" i="1" s="1"/>
  <c r="N266" i="1" a="1"/>
  <c r="N266" i="1" s="1"/>
  <c r="U266" i="1" a="1"/>
  <c r="U266" i="1" s="1"/>
  <c r="M266" i="1" a="1"/>
  <c r="M266" i="1" s="1"/>
  <c r="L266" i="1" a="1"/>
  <c r="L266" i="1" s="1"/>
  <c r="W266" i="1" a="1"/>
  <c r="W266" i="1" s="1"/>
  <c r="S266" i="1" a="1"/>
  <c r="S266" i="1" s="1"/>
  <c r="R266" i="1" a="1"/>
  <c r="R266" i="1" s="1"/>
  <c r="P135" i="1" a="1"/>
  <c r="P135" i="1" s="1"/>
  <c r="P151" i="1" a="1"/>
  <c r="P151" i="1" s="1"/>
  <c r="V155" i="1" a="1"/>
  <c r="V155" i="1" s="1"/>
  <c r="M158" i="1" a="1"/>
  <c r="M158" i="1" s="1"/>
  <c r="T158" i="1" a="1"/>
  <c r="T158" i="1" s="1"/>
  <c r="V160" i="1" a="1"/>
  <c r="V160" i="1" s="1"/>
  <c r="P160" i="1" a="1"/>
  <c r="P160" i="1" s="1"/>
  <c r="Q160" i="1" a="1"/>
  <c r="Q160" i="1" s="1"/>
  <c r="X160" i="1" a="1"/>
  <c r="X160" i="1" s="1"/>
  <c r="M185" i="1" a="1"/>
  <c r="M185" i="1" s="1"/>
  <c r="Y188" i="1" a="1"/>
  <c r="Y188" i="1" s="1"/>
  <c r="S188" i="1" a="1"/>
  <c r="S188" i="1" s="1"/>
  <c r="M188" i="1" a="1"/>
  <c r="M188" i="1" s="1"/>
  <c r="T188" i="1" a="1"/>
  <c r="T188" i="1" s="1"/>
  <c r="L188" i="1" a="1"/>
  <c r="L188" i="1" s="1"/>
  <c r="Q188" i="1" a="1"/>
  <c r="Q188" i="1" s="1"/>
  <c r="U191" i="1" a="1"/>
  <c r="U191" i="1" s="1"/>
  <c r="O198" i="1" a="1"/>
  <c r="O198" i="1" s="1"/>
  <c r="U198" i="1" a="1"/>
  <c r="U198" i="1" s="1"/>
  <c r="N198" i="1" a="1"/>
  <c r="N198" i="1" s="1"/>
  <c r="S198" i="1" a="1"/>
  <c r="S198" i="1" s="1"/>
  <c r="P221" i="1" a="1"/>
  <c r="P221" i="1" s="1"/>
  <c r="R259" i="1" a="1"/>
  <c r="R259" i="1" s="1"/>
  <c r="R166" i="1" a="1"/>
  <c r="R166" i="1" s="1"/>
  <c r="Y166" i="1" a="1"/>
  <c r="Y166" i="1" s="1"/>
  <c r="T183" i="1" a="1"/>
  <c r="T183" i="1" s="1"/>
  <c r="V185" i="1" a="1"/>
  <c r="V185" i="1" s="1"/>
  <c r="V191" i="1" a="1"/>
  <c r="V191" i="1" s="1"/>
  <c r="W215" i="1" a="1"/>
  <c r="W215" i="1" s="1"/>
  <c r="Q215" i="1" a="1"/>
  <c r="Q215" i="1" s="1"/>
  <c r="X215" i="1" a="1"/>
  <c r="X215" i="1" s="1"/>
  <c r="O215" i="1" a="1"/>
  <c r="O215" i="1" s="1"/>
  <c r="V215" i="1" a="1"/>
  <c r="V215" i="1" s="1"/>
  <c r="M215" i="1" a="1"/>
  <c r="M215" i="1" s="1"/>
  <c r="T215" i="1" a="1"/>
  <c r="T215" i="1" s="1"/>
  <c r="S218" i="1" a="1"/>
  <c r="S218" i="1" s="1"/>
  <c r="T222" i="1" a="1"/>
  <c r="T222" i="1" s="1"/>
  <c r="M222" i="1" a="1"/>
  <c r="M222" i="1" s="1"/>
  <c r="S222" i="1" a="1"/>
  <c r="S222" i="1" s="1"/>
  <c r="Y222" i="1" a="1"/>
  <c r="Y222" i="1" s="1"/>
  <c r="L222" i="1" a="1"/>
  <c r="L222" i="1" s="1"/>
  <c r="Q222" i="1" a="1"/>
  <c r="Q222" i="1" s="1"/>
  <c r="P222" i="1" a="1"/>
  <c r="P222" i="1" s="1"/>
  <c r="W222" i="1" a="1"/>
  <c r="W222" i="1" s="1"/>
  <c r="V222" i="1" a="1"/>
  <c r="V222" i="1" s="1"/>
  <c r="O239" i="1" a="1"/>
  <c r="O239" i="1" s="1"/>
  <c r="R254" i="1" a="1"/>
  <c r="R254" i="1" s="1"/>
  <c r="W259" i="1" a="1"/>
  <c r="W259" i="1" s="1"/>
  <c r="T199" i="1" a="1"/>
  <c r="T199" i="1" s="1"/>
  <c r="N199" i="1" a="1"/>
  <c r="N199" i="1" s="1"/>
  <c r="W199" i="1" a="1"/>
  <c r="W199" i="1" s="1"/>
  <c r="U235" i="1" a="1"/>
  <c r="U235" i="1" s="1"/>
  <c r="Y253" i="1" a="1"/>
  <c r="Y253" i="1" s="1"/>
  <c r="S253" i="1" a="1"/>
  <c r="S253" i="1" s="1"/>
  <c r="L253" i="1" a="1"/>
  <c r="L253" i="1" s="1"/>
  <c r="W253" i="1" a="1"/>
  <c r="W253" i="1" s="1"/>
  <c r="P253" i="1" a="1"/>
  <c r="P253" i="1" s="1"/>
  <c r="V253" i="1" a="1"/>
  <c r="V253" i="1" s="1"/>
  <c r="N253" i="1" a="1"/>
  <c r="N253" i="1" s="1"/>
  <c r="T253" i="1" a="1"/>
  <c r="T253" i="1" s="1"/>
  <c r="R253" i="1" a="1"/>
  <c r="R253" i="1" s="1"/>
  <c r="X253" i="1" a="1"/>
  <c r="X253" i="1" s="1"/>
  <c r="W261" i="1" a="1"/>
  <c r="W261" i="1" s="1"/>
  <c r="T262" i="1" a="1"/>
  <c r="T262" i="1" s="1"/>
  <c r="M262" i="1" a="1"/>
  <c r="M262" i="1" s="1"/>
  <c r="V262" i="1" a="1"/>
  <c r="V262" i="1" s="1"/>
  <c r="L262" i="1" a="1"/>
  <c r="L262" i="1" s="1"/>
  <c r="U262" i="1" a="1"/>
  <c r="U262" i="1" s="1"/>
  <c r="S262" i="1" a="1"/>
  <c r="S262" i="1" s="1"/>
  <c r="R262" i="1" a="1"/>
  <c r="R262" i="1" s="1"/>
  <c r="W273" i="1" a="1"/>
  <c r="W273" i="1" s="1"/>
  <c r="V189" i="1" a="1"/>
  <c r="V189" i="1" s="1"/>
  <c r="P189" i="1" a="1"/>
  <c r="P189" i="1" s="1"/>
  <c r="Q189" i="1" a="1"/>
  <c r="Q189" i="1" s="1"/>
  <c r="P192" i="1" a="1"/>
  <c r="P192" i="1" s="1"/>
  <c r="U197" i="1" a="1"/>
  <c r="U197" i="1" s="1"/>
  <c r="O197" i="1" a="1"/>
  <c r="O197" i="1" s="1"/>
  <c r="W197" i="1" a="1"/>
  <c r="W197" i="1" s="1"/>
  <c r="R199" i="1" a="1"/>
  <c r="R199" i="1" s="1"/>
  <c r="P219" i="1" a="1"/>
  <c r="P219" i="1" s="1"/>
  <c r="W256" i="1" a="1"/>
  <c r="W256" i="1" s="1"/>
  <c r="N262" i="1" a="1"/>
  <c r="N262" i="1" s="1"/>
  <c r="P155" i="1" a="1"/>
  <c r="P155" i="1" s="1"/>
  <c r="P182" i="1" a="1"/>
  <c r="P182" i="1" s="1"/>
  <c r="X189" i="1" a="1"/>
  <c r="X189" i="1" s="1"/>
  <c r="W192" i="1" a="1"/>
  <c r="W192" i="1" s="1"/>
  <c r="Q197" i="1" a="1"/>
  <c r="Q197" i="1" s="1"/>
  <c r="L199" i="1" a="1"/>
  <c r="L199" i="1" s="1"/>
  <c r="Y199" i="1" a="1"/>
  <c r="Y199" i="1" s="1"/>
  <c r="X207" i="1" a="1"/>
  <c r="X207" i="1" s="1"/>
  <c r="R207" i="1" a="1"/>
  <c r="R207" i="1" s="1"/>
  <c r="L207" i="1" a="1"/>
  <c r="L207" i="1" s="1"/>
  <c r="Q207" i="1" a="1"/>
  <c r="Q207" i="1" s="1"/>
  <c r="M253" i="1" a="1"/>
  <c r="M253" i="1" s="1"/>
  <c r="U257" i="1" a="1"/>
  <c r="U257" i="1" s="1"/>
  <c r="N257" i="1" a="1"/>
  <c r="N257" i="1" s="1"/>
  <c r="V257" i="1" a="1"/>
  <c r="V257" i="1" s="1"/>
  <c r="M257" i="1" a="1"/>
  <c r="M257" i="1" s="1"/>
  <c r="T257" i="1" a="1"/>
  <c r="T257" i="1" s="1"/>
  <c r="L257" i="1" a="1"/>
  <c r="L257" i="1" s="1"/>
  <c r="R257" i="1" a="1"/>
  <c r="R257" i="1" s="1"/>
  <c r="Q257" i="1" a="1"/>
  <c r="Q257" i="1" s="1"/>
  <c r="X257" i="1" a="1"/>
  <c r="X257" i="1" s="1"/>
  <c r="T186" i="1" a="1"/>
  <c r="T186" i="1" s="1"/>
  <c r="R189" i="1" a="1"/>
  <c r="R189" i="1" s="1"/>
  <c r="Q192" i="1" a="1"/>
  <c r="Q192" i="1" s="1"/>
  <c r="X197" i="1" a="1"/>
  <c r="X197" i="1" s="1"/>
  <c r="S199" i="1" a="1"/>
  <c r="S199" i="1" s="1"/>
  <c r="V200" i="1" a="1"/>
  <c r="V200" i="1" s="1"/>
  <c r="P200" i="1" a="1"/>
  <c r="P200" i="1" s="1"/>
  <c r="Q200" i="1" a="1"/>
  <c r="Q200" i="1" s="1"/>
  <c r="X200" i="1" a="1"/>
  <c r="X200" i="1" s="1"/>
  <c r="W206" i="1" a="1"/>
  <c r="W206" i="1" s="1"/>
  <c r="Q206" i="1" a="1"/>
  <c r="Q206" i="1" s="1"/>
  <c r="S207" i="1" a="1"/>
  <c r="S207" i="1" s="1"/>
  <c r="U214" i="1" a="1"/>
  <c r="U214" i="1" s="1"/>
  <c r="O214" i="1" a="1"/>
  <c r="O214" i="1" s="1"/>
  <c r="T214" i="1" a="1"/>
  <c r="T214" i="1" s="1"/>
  <c r="N214" i="1" a="1"/>
  <c r="N214" i="1" s="1"/>
  <c r="Q214" i="1" a="1"/>
  <c r="Q214" i="1" s="1"/>
  <c r="Y257" i="1" a="1"/>
  <c r="Y257" i="1" s="1"/>
  <c r="P262" i="1" a="1"/>
  <c r="P262" i="1" s="1"/>
  <c r="Y272" i="1" a="1"/>
  <c r="Y272" i="1" s="1"/>
  <c r="X277" i="1" a="1"/>
  <c r="X277" i="1" s="1"/>
  <c r="R277" i="1" a="1"/>
  <c r="R277" i="1" s="1"/>
  <c r="V277" i="1" a="1"/>
  <c r="V277" i="1" s="1"/>
  <c r="P277" i="1" a="1"/>
  <c r="P277" i="1" s="1"/>
  <c r="Y277" i="1" a="1"/>
  <c r="Y277" i="1" s="1"/>
  <c r="N277" i="1" a="1"/>
  <c r="N277" i="1" s="1"/>
  <c r="T277" i="1" a="1"/>
  <c r="T277" i="1" s="1"/>
  <c r="S277" i="1" a="1"/>
  <c r="S277" i="1" s="1"/>
  <c r="P218" i="1" a="1"/>
  <c r="P218" i="1" s="1"/>
  <c r="X263" i="1" a="1"/>
  <c r="X263" i="1" s="1"/>
  <c r="X270" i="1" a="1"/>
  <c r="X270" i="1" s="1"/>
  <c r="R270" i="1" a="1"/>
  <c r="R270" i="1" s="1"/>
  <c r="V270" i="1" a="1"/>
  <c r="V270" i="1" s="1"/>
  <c r="P270" i="1" a="1"/>
  <c r="P270" i="1" s="1"/>
  <c r="Y270" i="1" a="1"/>
  <c r="Y270" i="1" s="1"/>
  <c r="N270" i="1" a="1"/>
  <c r="N270" i="1" s="1"/>
  <c r="R218" i="1" a="1"/>
  <c r="R218" i="1" s="1"/>
  <c r="T230" i="1" a="1"/>
  <c r="T230" i="1" s="1"/>
  <c r="T235" i="1" a="1"/>
  <c r="T235" i="1" s="1"/>
  <c r="X258" i="1" a="1"/>
  <c r="X258" i="1" s="1"/>
  <c r="R258" i="1" a="1"/>
  <c r="R258" i="1" s="1"/>
  <c r="U258" i="1" a="1"/>
  <c r="U258" i="1" s="1"/>
  <c r="M258" i="1" a="1"/>
  <c r="M258" i="1" s="1"/>
  <c r="T258" i="1" a="1"/>
  <c r="T258" i="1" s="1"/>
  <c r="L258" i="1" a="1"/>
  <c r="L258" i="1" s="1"/>
  <c r="L270" i="1" a="1"/>
  <c r="L270" i="1" s="1"/>
  <c r="L218" i="1" a="1"/>
  <c r="L218" i="1" s="1"/>
  <c r="Y218" i="1" a="1"/>
  <c r="Y218" i="1" s="1"/>
  <c r="Q230" i="1" a="1"/>
  <c r="Q230" i="1" s="1"/>
  <c r="X230" i="1" a="1"/>
  <c r="X230" i="1" s="1"/>
  <c r="M242" i="1" a="1"/>
  <c r="M242" i="1" s="1"/>
  <c r="S242" i="1" a="1"/>
  <c r="S242" i="1" s="1"/>
  <c r="L242" i="1" a="1"/>
  <c r="L242" i="1" s="1"/>
  <c r="Q242" i="1" a="1"/>
  <c r="Q242" i="1" s="1"/>
  <c r="Y242" i="1" a="1"/>
  <c r="Y242" i="1" s="1"/>
  <c r="U246" i="1" a="1"/>
  <c r="U246" i="1" s="1"/>
  <c r="V258" i="1" a="1"/>
  <c r="V258" i="1" s="1"/>
  <c r="Y260" i="1" a="1"/>
  <c r="Y260" i="1" s="1"/>
  <c r="S260" i="1" a="1"/>
  <c r="S260" i="1" s="1"/>
  <c r="L260" i="1" a="1"/>
  <c r="L260" i="1" s="1"/>
  <c r="U260" i="1" a="1"/>
  <c r="U260" i="1" s="1"/>
  <c r="M260" i="1" a="1"/>
  <c r="M260" i="1" s="1"/>
  <c r="T260" i="1" a="1"/>
  <c r="T260" i="1" s="1"/>
  <c r="M270" i="1" a="1"/>
  <c r="M270" i="1" s="1"/>
  <c r="W243" i="1" a="1"/>
  <c r="W243" i="1" s="1"/>
  <c r="V260" i="1" a="1"/>
  <c r="V260" i="1" s="1"/>
  <c r="U264" i="1" a="1"/>
  <c r="U264" i="1" s="1"/>
  <c r="N264" i="1" a="1"/>
  <c r="N264" i="1" s="1"/>
  <c r="W264" i="1" a="1"/>
  <c r="W264" i="1" s="1"/>
  <c r="M264" i="1" a="1"/>
  <c r="M264" i="1" s="1"/>
  <c r="V264" i="1" a="1"/>
  <c r="V264" i="1" s="1"/>
  <c r="L264" i="1" a="1"/>
  <c r="L264" i="1" s="1"/>
  <c r="S264" i="1" a="1"/>
  <c r="S264" i="1" s="1"/>
  <c r="U276" i="1" a="1"/>
  <c r="U276" i="1" s="1"/>
  <c r="N276" i="1" a="1"/>
  <c r="N276" i="1" s="1"/>
  <c r="Y276" i="1" a="1"/>
  <c r="Y276" i="1" s="1"/>
  <c r="S276" i="1" a="1"/>
  <c r="S276" i="1" s="1"/>
  <c r="L276" i="1" a="1"/>
  <c r="L276" i="1" s="1"/>
  <c r="X276" i="1" a="1"/>
  <c r="X276" i="1" s="1"/>
  <c r="P276" i="1" a="1"/>
  <c r="P276" i="1" s="1"/>
  <c r="M276" i="1" a="1"/>
  <c r="M276" i="1" s="1"/>
  <c r="W276" i="1" a="1"/>
  <c r="W276" i="1" s="1"/>
  <c r="T276" i="1" a="1"/>
  <c r="T276" i="1" s="1"/>
  <c r="U269" i="1" a="1"/>
  <c r="U269" i="1" s="1"/>
  <c r="N269" i="1" a="1"/>
  <c r="N269" i="1" s="1"/>
  <c r="T269" i="1" a="1"/>
  <c r="T269" i="1" s="1"/>
  <c r="M269" i="1" a="1"/>
  <c r="M269" i="1" s="1"/>
  <c r="X247" i="1" a="1"/>
  <c r="X247" i="1" s="1"/>
  <c r="R247" i="1" a="1"/>
  <c r="R247" i="1" s="1"/>
  <c r="L247" i="1" a="1"/>
  <c r="L247" i="1" s="1"/>
  <c r="Q247" i="1" a="1"/>
  <c r="Q247" i="1" s="1"/>
  <c r="Y247" i="1" a="1"/>
  <c r="Y247" i="1" s="1"/>
  <c r="W268" i="1" a="1"/>
  <c r="W268" i="1" s="1"/>
  <c r="L269" i="1" a="1"/>
  <c r="L269" i="1" s="1"/>
  <c r="P243" i="1" a="1"/>
  <c r="P243" i="1" s="1"/>
  <c r="W269" i="1" a="1"/>
  <c r="W269" i="1" s="1"/>
  <c r="V271" i="1" a="1"/>
  <c r="V271" i="1" s="1"/>
  <c r="P271" i="1" a="1"/>
  <c r="P271" i="1" s="1"/>
  <c r="U271" i="1" a="1"/>
  <c r="U271" i="1" s="1"/>
  <c r="N271" i="1" a="1"/>
  <c r="N271" i="1" s="1"/>
  <c r="S271" i="1" a="1"/>
  <c r="S271" i="1" s="1"/>
  <c r="Y223" i="1" a="1"/>
  <c r="Y223" i="1" s="1"/>
  <c r="S247" i="1" a="1"/>
  <c r="S247" i="1" s="1"/>
  <c r="T271" i="1" a="1"/>
  <c r="T271" i="1" s="1"/>
  <c r="T274" i="1" a="1"/>
  <c r="T274" i="1" s="1"/>
  <c r="M274" i="1" a="1"/>
  <c r="M274" i="1" s="1"/>
  <c r="X274" i="1" a="1"/>
  <c r="X274" i="1" s="1"/>
  <c r="R274" i="1" a="1"/>
  <c r="R274" i="1" s="1"/>
  <c r="S274" i="1" a="1"/>
  <c r="S274" i="1" s="1"/>
  <c r="U278" i="1" a="1"/>
  <c r="U278" i="1" s="1"/>
  <c r="N278" i="1" a="1"/>
  <c r="N278" i="1" s="1"/>
  <c r="Y278" i="1" a="1"/>
  <c r="Y278" i="1" s="1"/>
  <c r="S278" i="1" a="1"/>
  <c r="S278" i="1" s="1"/>
  <c r="L278" i="1" a="1"/>
  <c r="L278" i="1" s="1"/>
  <c r="Q272" i="1" a="1"/>
  <c r="Q272" i="1" s="1"/>
  <c r="W272" i="1" a="1"/>
  <c r="W272" i="1" s="1"/>
  <c r="Q263" i="1" a="1"/>
  <c r="Q263" i="1" s="1"/>
  <c r="W263" i="1" a="1"/>
  <c r="W263" i="1" s="1"/>
  <c r="V273" i="1" a="1"/>
  <c r="V273" i="1" s="1"/>
  <c r="Q275" i="1" a="1"/>
  <c r="Q275" i="1" s="1"/>
  <c r="W275" i="1" a="1"/>
  <c r="W275" i="1" s="1"/>
  <c r="R234" i="1" a="1"/>
  <c r="R234" i="1" s="1"/>
  <c r="O246" i="1" a="1"/>
  <c r="O246" i="1" s="1"/>
  <c r="Q256" i="1" a="1"/>
  <c r="Q256" i="1" s="1"/>
  <c r="Q268" i="1" a="1"/>
  <c r="Q268" i="1" s="1"/>
  <c r="L272" i="1" a="1"/>
  <c r="L272" i="1" s="1"/>
  <c r="S272" i="1" a="1"/>
  <c r="S272" i="1" s="1"/>
  <c r="Q261" i="1" a="1"/>
  <c r="Q261" i="1" s="1"/>
  <c r="R263" i="1" a="1"/>
  <c r="R263" i="1" s="1"/>
  <c r="Q273" i="1" a="1"/>
  <c r="Q273" i="1" s="1"/>
  <c r="R275" i="1" a="1"/>
  <c r="R275" i="1" s="1"/>
</calcChain>
</file>

<file path=xl/sharedStrings.xml><?xml version="1.0" encoding="utf-8"?>
<sst xmlns="http://schemas.openxmlformats.org/spreadsheetml/2006/main" count="1976" uniqueCount="275">
  <si>
    <t xml:space="preserve">NP/DD and Total Trades are based on 2023.1.1-2025.5.30, this is to give a glance of strategy overall performance as well as trading frequency.        </t>
  </si>
  <si>
    <t>Monthly Returns are based 3% Capital and 7 Leverage, to give a reference of recent performance and also a sizing choice</t>
  </si>
  <si>
    <t>KEY</t>
  </si>
  <si>
    <t>STATUS</t>
  </si>
  <si>
    <t>RATIO</t>
  </si>
  <si>
    <t>ID</t>
  </si>
  <si>
    <t>COIN PAIR</t>
  </si>
  <si>
    <t>STRATEGY</t>
  </si>
  <si>
    <t>TIMEFRAME</t>
  </si>
  <si>
    <t>Initial Mark</t>
  </si>
  <si>
    <t>Calculated Size</t>
  </si>
  <si>
    <t>Actual Size</t>
  </si>
  <si>
    <t>Avg PnL per trade</t>
  </si>
  <si>
    <t>NP/DD</t>
  </si>
  <si>
    <t>Total Trades</t>
  </si>
  <si>
    <t>INCUBATION</t>
  </si>
  <si>
    <t>SEP</t>
  </si>
  <si>
    <t>AUG</t>
  </si>
  <si>
    <t>JULY</t>
  </si>
  <si>
    <t>JUNE</t>
  </si>
  <si>
    <t>MAY</t>
  </si>
  <si>
    <t>APR</t>
  </si>
  <si>
    <t>MAR</t>
  </si>
  <si>
    <t>FEB</t>
  </si>
  <si>
    <t>JAN</t>
  </si>
  <si>
    <t>LINK</t>
  </si>
  <si>
    <t>BB/DexAlgo</t>
  </si>
  <si>
    <t>7x</t>
  </si>
  <si>
    <t>active</t>
  </si>
  <si>
    <t>[17ab2738]</t>
  </si>
  <si>
    <t>ARB</t>
  </si>
  <si>
    <t>stiff Surge</t>
  </si>
  <si>
    <t>45m</t>
  </si>
  <si>
    <t>DOGE</t>
  </si>
  <si>
    <t>MACD</t>
  </si>
  <si>
    <t>[e92283ec]</t>
  </si>
  <si>
    <t>HBAR</t>
  </si>
  <si>
    <t>Heiken-Ashi</t>
  </si>
  <si>
    <t>30m</t>
  </si>
  <si>
    <t>[f80d2657]</t>
  </si>
  <si>
    <t>PePe</t>
  </si>
  <si>
    <t>JP Trend</t>
  </si>
  <si>
    <t>[0c4624b7]</t>
  </si>
  <si>
    <t>SOL</t>
  </si>
  <si>
    <t>volVangard</t>
  </si>
  <si>
    <t>[a9aeb4cc]</t>
  </si>
  <si>
    <t>ETH</t>
  </si>
  <si>
    <t>McGinley</t>
  </si>
  <si>
    <t>90m</t>
  </si>
  <si>
    <t>[65caeaa0]</t>
  </si>
  <si>
    <t>ROSE</t>
  </si>
  <si>
    <t>WolfnBear</t>
  </si>
  <si>
    <t>1H</t>
  </si>
  <si>
    <t>APE</t>
  </si>
  <si>
    <t>precisionTrend</t>
  </si>
  <si>
    <t>[fa32aee4]</t>
  </si>
  <si>
    <t>[3111f1fd]</t>
  </si>
  <si>
    <t>NEAR</t>
  </si>
  <si>
    <t>Stiff Surge</t>
  </si>
  <si>
    <t>[f2b236fa]</t>
  </si>
  <si>
    <t>OP</t>
  </si>
  <si>
    <t>glitchTrend</t>
  </si>
  <si>
    <t>toWatch</t>
  </si>
  <si>
    <t>https://daviddtech.com/strategy/hongfei_xx-glitchytrend-opusdt-1h-22-07-2025-copy/</t>
  </si>
  <si>
    <t>DexAglo 2</t>
  </si>
  <si>
    <t>5x</t>
  </si>
  <si>
    <t>[0436a8e8]</t>
  </si>
  <si>
    <t>Trendhoo</t>
  </si>
  <si>
    <t>https://daviddtech.com/strategy/borawx-trendhoov5-solusdt-90m-30-07-copy/</t>
  </si>
  <si>
    <t>[1adc9501]</t>
  </si>
  <si>
    <t>DeadZone</t>
  </si>
  <si>
    <t>https://daviddtech.com/strategy/eth_deadzone_1hr-copy-croc5455/</t>
  </si>
  <si>
    <t>[04ea3071]</t>
  </si>
  <si>
    <t>BTC</t>
  </si>
  <si>
    <t>AI vs Ninja Turtle</t>
  </si>
  <si>
    <t>76min</t>
  </si>
  <si>
    <t>https://daviddtech.com/strategy/igorek-aivsnn-btcusdt-76m-22-10-2024-copy/</t>
  </si>
  <si>
    <t>paused</t>
  </si>
  <si>
    <t>[967f469a]</t>
  </si>
  <si>
    <t>McGingley</t>
  </si>
  <si>
    <t>DexAlgo 3</t>
  </si>
  <si>
    <t>17.12.2024</t>
  </si>
  <si>
    <t>T3 Nexus</t>
  </si>
  <si>
    <t>[1e052093]</t>
  </si>
  <si>
    <t>FlashProfit</t>
  </si>
  <si>
    <t>59m</t>
  </si>
  <si>
    <t>[6dcd4dc9]</t>
  </si>
  <si>
    <t>[da58bf67]</t>
  </si>
  <si>
    <t>https://daviddtech.com/strategy/fishyink-stiffsurge-nearusdt-1h-03-12-2024-copy/</t>
  </si>
  <si>
    <t>[4a2ddf14]</t>
  </si>
  <si>
    <t>AAVE</t>
  </si>
  <si>
    <t>McGlinley</t>
  </si>
  <si>
    <t>https://daviddtech.com/strategy/inactive-chibuku-mcginleyv5-aaveusdt-45m-19-12-2/</t>
  </si>
  <si>
    <t>[b39d1d6e]</t>
  </si>
  <si>
    <t>PIXEL</t>
  </si>
  <si>
    <t>d</t>
  </si>
  <si>
    <t>https://daviddtech.com/strategy/reid-wolfbearv5-pixelusdt-1h-14-01-2025-copy/</t>
  </si>
  <si>
    <t>[8a00ecfa]</t>
  </si>
  <si>
    <t>ADA</t>
  </si>
  <si>
    <t>JpTrendForce</t>
  </si>
  <si>
    <t>https://daviddtech.com/strategy/gentlesir-jptrendforce-adausdt-1h-15-10-2024-copy/</t>
  </si>
  <si>
    <t>[fbf06b43]</t>
  </si>
  <si>
    <t>MNT</t>
  </si>
  <si>
    <t>37m</t>
  </si>
  <si>
    <t>https://daviddtech.com/strategy/creedomrings-trendhoo-mntusdt-37m-06-08-copy/</t>
  </si>
  <si>
    <t>DCA</t>
  </si>
  <si>
    <t>Dexigner/MyBybit</t>
  </si>
  <si>
    <t>Dexigner 2 7x</t>
  </si>
  <si>
    <t>Dexigner 3</t>
  </si>
  <si>
    <t>Main 1</t>
  </si>
  <si>
    <t>[492724a5]</t>
  </si>
  <si>
    <t>TTMS</t>
  </si>
  <si>
    <t>Main 2</t>
  </si>
  <si>
    <t>[ff2cc3b8]</t>
  </si>
  <si>
    <t>https://www.tradingview.com/chart/sLLqQaVx/</t>
  </si>
  <si>
    <t>Main 3</t>
  </si>
  <si>
    <t>3x</t>
  </si>
  <si>
    <t>Main 4</t>
  </si>
  <si>
    <t>Taurus 1 7x</t>
  </si>
  <si>
    <t>Taurus 2 7x</t>
  </si>
  <si>
    <t>Taurus 3 3x</t>
  </si>
  <si>
    <t>two BTC strategy cannot be added due to BTC position not hedged</t>
  </si>
  <si>
    <t>XF BOT1 7x</t>
  </si>
  <si>
    <t>XF BOT2 7x</t>
  </si>
  <si>
    <t>XF BOT 3 3x</t>
  </si>
  <si>
    <t>HEATH SIGNAL 1 7x</t>
  </si>
  <si>
    <t>HEATH SIGNAL 2 7x</t>
  </si>
  <si>
    <t>HEATH BOT3</t>
  </si>
  <si>
    <t>YUNCU BOT1</t>
  </si>
  <si>
    <t>YUNCU BOT 2 3x</t>
  </si>
  <si>
    <t>[28d1ec8a]</t>
  </si>
  <si>
    <t>stiffZone</t>
  </si>
  <si>
    <t>15m</t>
  </si>
  <si>
    <t>https://daviddtech.com/strategy/inactive-bunie33-stiffzone-ethusdt-15m-16-4-copy/</t>
  </si>
  <si>
    <t>YUNCU BOT 3 3x</t>
  </si>
  <si>
    <t>01.01.2025</t>
  </si>
  <si>
    <t>AI Ichimaster</t>
  </si>
  <si>
    <t>3H</t>
  </si>
  <si>
    <t>[f9ce90ca]</t>
  </si>
  <si>
    <t>Hacolt</t>
  </si>
  <si>
    <t>https://daviddtech.com/strategy/erki1972-hacolt-solusdt-30m-26-11-2024-copy/</t>
  </si>
  <si>
    <t>YUNCU BOT 4 7x</t>
  </si>
  <si>
    <t>https://daviddtech.com/strategy/marcob-precisiontrendmastery-ethusdt-30m-17-12-2024-copy/</t>
  </si>
  <si>
    <t>RECONSTRUCTED PORTFOLIO @50000</t>
  </si>
  <si>
    <t>13.05.2025</t>
  </si>
  <si>
    <t>https://daviddtech.com/strategy/soperator-precisiontrendmastery-solusdt-30m-13-05-2025-copy/</t>
  </si>
  <si>
    <t>[c2afa489]</t>
  </si>
  <si>
    <t>superStrike</t>
  </si>
  <si>
    <t>[e0ab531e]</t>
  </si>
  <si>
    <t>2H</t>
  </si>
  <si>
    <t>[9e41937c]</t>
  </si>
  <si>
    <t>https://daviddtech.com/strategy/inactive-gentlesir-stiffsurge-nearusdt-45m-25-06-copy/</t>
  </si>
  <si>
    <t>https://daviddtech.com/strategy/near-0005-copy-gentle_sir/</t>
  </si>
  <si>
    <t>https://daviddtech.com/strategy/koaeon-stiffsurge-nearusdt-1h-06-08-copy/</t>
  </si>
  <si>
    <t>18.02.2025</t>
  </si>
  <si>
    <t>VET</t>
  </si>
  <si>
    <t>FMVA</t>
  </si>
  <si>
    <t>https://daviddtech.com/strategy/reid-superfvmazl-vetusdt-1h-18-02-2025-copy/</t>
  </si>
  <si>
    <t xml:space="preserve">Initial Capital </t>
  </si>
  <si>
    <t>Caculated Size</t>
  </si>
  <si>
    <t>Average PnL Per Trade</t>
  </si>
  <si>
    <t>LIVE SINCE</t>
  </si>
  <si>
    <t>OCT</t>
  </si>
  <si>
    <t>https://www.tradingview.com/chart/EjQUtmuc/</t>
  </si>
  <si>
    <t>https://www.tradingview.com/chart/Dvd9vGt5/</t>
  </si>
  <si>
    <t>Paused</t>
  </si>
  <si>
    <t>[1b37681c]</t>
  </si>
  <si>
    <t>XRP</t>
  </si>
  <si>
    <t>FVMA</t>
  </si>
  <si>
    <t>https://www.tradingview.com/chart/A4cEqLik/</t>
  </si>
  <si>
    <t>https://www.tradingview.com/chart/uNPZ2spK/</t>
  </si>
  <si>
    <t>https://www.tradingview.com/chart/Kj5ZGHdw/</t>
  </si>
  <si>
    <t>https://www.tradingview.com/chart/2vyQajE2/</t>
  </si>
  <si>
    <t>https://www.tradingview.com/chart/WiKMqTet/</t>
  </si>
  <si>
    <t>https://www.tradingview.com/chart/Q9MeKvVC/</t>
  </si>
  <si>
    <t>https://www.tradingview.com/chart/ygHXwF84/</t>
  </si>
  <si>
    <t>https://www.tradingview.com/chart/CTC73Olh/</t>
  </si>
  <si>
    <t>https://www.tradingview.com/chart/elrmSYee/</t>
  </si>
  <si>
    <t>https://www.tradingview.com/chart/285fzTJB/</t>
  </si>
  <si>
    <t>https://www.tradingview.com/chart/xxzEyDfw/</t>
  </si>
  <si>
    <t>https://www.tradingview.com/chart/lcNgD4pS/</t>
  </si>
  <si>
    <t>https://www.tradingview.com/chart/iSq6XFCC/</t>
  </si>
  <si>
    <t>https://www.tradingview.com/chart/rVeFMiU4/</t>
  </si>
  <si>
    <t>https://www.tradingview.com/chart/YxD2lfI2/</t>
  </si>
  <si>
    <t>https://www.tradingview.com/chart/dPRT8fSK/</t>
  </si>
  <si>
    <t>https://www.tradingview.com/chart/oDhEAePi/</t>
  </si>
  <si>
    <t>https://www.tradingview.com/chart/2Jtw033J/</t>
  </si>
  <si>
    <t>https://www.tradingview.com/chart/Yh9TaqZE/</t>
  </si>
  <si>
    <t>https://www.tradingview.com/chart/p2Bvj1LX/</t>
  </si>
  <si>
    <t>https://www.tradingview.com/chart/9cT1VRvW/</t>
  </si>
  <si>
    <t>https://www.tradingview.com/chart/tJDJVri5/</t>
  </si>
  <si>
    <t>https://www.tradingview.com/chart/mnGjsgoY/</t>
  </si>
  <si>
    <t>https://www.tradingview.com/chart/cMDH182g/</t>
  </si>
  <si>
    <t>https://www.tradingview.com/chart/7HMGQSsJ/</t>
  </si>
  <si>
    <t>https://www.tradingview.com/chart/Xt8Libni/</t>
  </si>
  <si>
    <t>https://www.tradingview.com/chart/pLdFOLtD/</t>
  </si>
  <si>
    <t>https://www.tradingview.com/chart/6cptM378/</t>
  </si>
  <si>
    <t>https://www.tradingview.com/chart/IMFhBZl2/</t>
  </si>
  <si>
    <t>https://www.tradingview.com/chart/P8n5vn8V/</t>
  </si>
  <si>
    <t>https://www.tradingview.com/chart/WLiNME8l/</t>
  </si>
  <si>
    <t>[37b8aa1a]</t>
  </si>
  <si>
    <t>4H</t>
  </si>
  <si>
    <t>https://www.tradingview.com/chart/ovTE0wz5/</t>
  </si>
  <si>
    <t>WATCHLIST</t>
  </si>
  <si>
    <t>DT ID</t>
  </si>
  <si>
    <t>Start Date</t>
  </si>
  <si>
    <t>NOV</t>
  </si>
  <si>
    <t>[8bdb5058]</t>
  </si>
  <si>
    <t>BotifyX</t>
  </si>
  <si>
    <t>[a8f7e35a]</t>
  </si>
  <si>
    <t>https://www.tradingview.com/chart/ZATMqHj7/</t>
  </si>
  <si>
    <t>[946cefcd]</t>
  </si>
  <si>
    <t>StiffTrend</t>
  </si>
  <si>
    <t>[356a380a]</t>
  </si>
  <si>
    <t>PrecisionTrend</t>
  </si>
  <si>
    <t>https://www.tradingview.com/chart/vmVdEFrf/</t>
  </si>
  <si>
    <t>KAS</t>
  </si>
  <si>
    <t>topBottom</t>
  </si>
  <si>
    <t>stiffSurge</t>
  </si>
  <si>
    <t>4..47</t>
  </si>
  <si>
    <t>https://www.tradingview.com/chart/93mHmuGN/</t>
  </si>
  <si>
    <t>28.01.2025</t>
  </si>
  <si>
    <t>MANTA</t>
  </si>
  <si>
    <t>01.04.2025</t>
  </si>
  <si>
    <t>CHR</t>
  </si>
  <si>
    <t>40m</t>
  </si>
  <si>
    <t>[56739c94]</t>
  </si>
  <si>
    <t>https://www.tradingview.com/chart/ng0akTZy/</t>
  </si>
  <si>
    <t>https://www.tradingview.com/chart/9HGhrAiL/</t>
  </si>
  <si>
    <t>AVAX</t>
  </si>
  <si>
    <t>[beb9123b]</t>
  </si>
  <si>
    <t>LDO</t>
  </si>
  <si>
    <t>XMA</t>
  </si>
  <si>
    <t>[f814d954]</t>
  </si>
  <si>
    <t>[7bd42610]</t>
  </si>
  <si>
    <t>XLM</t>
  </si>
  <si>
    <t>SuperFDead</t>
  </si>
  <si>
    <t>22.04.2025</t>
  </si>
  <si>
    <t>https://www.tradingview.com/chart/CsNPJ40O/</t>
  </si>
  <si>
    <t>[ccaef8fd]</t>
  </si>
  <si>
    <t>PEPE</t>
  </si>
  <si>
    <t>StiffSurge</t>
  </si>
  <si>
    <t>GRT</t>
  </si>
  <si>
    <t>[6a1f9b4d]</t>
  </si>
  <si>
    <t>RSR</t>
  </si>
  <si>
    <t>[14c16208]</t>
  </si>
  <si>
    <t>https://www.tradingview.com/chart/NhxlUtzn/</t>
  </si>
  <si>
    <t>HeikenAshi</t>
  </si>
  <si>
    <t>https://www.tradingview.com/chart/dIwxPof0/</t>
  </si>
  <si>
    <t>T3Nexus</t>
  </si>
  <si>
    <t>https://www.tradingview.com/chart/gi8LCskw/</t>
  </si>
  <si>
    <t>https://www.tradingview.com/chart/2AUW8k25/</t>
  </si>
  <si>
    <t>04.03.2025</t>
  </si>
  <si>
    <t>55m</t>
  </si>
  <si>
    <t>https://www.tradingview.com/chart/Yf0e8AQY/</t>
  </si>
  <si>
    <t>https://www.tradingview.com/chart/nM5aAdbF/</t>
  </si>
  <si>
    <t>08.04.2025</t>
  </si>
  <si>
    <t>HLCV6</t>
  </si>
  <si>
    <t>https://www.tradingview.com/chart/OzqPeVXC/</t>
  </si>
  <si>
    <t>[1fec6b4a]</t>
  </si>
  <si>
    <t>https://www.tradingview.com/chart/HbR0OQPO/</t>
  </si>
  <si>
    <t>GALA</t>
  </si>
  <si>
    <t>https://www.tradingview.com/chart/177cG60E/</t>
  </si>
  <si>
    <t>[84fec9a8]</t>
  </si>
  <si>
    <t>Michonne</t>
  </si>
  <si>
    <t>https://www.tradingview.com/chart/JaGkQQA4/</t>
  </si>
  <si>
    <t>25.03.2025</t>
  </si>
  <si>
    <t>https://www.tradingview.com/chart/doHBT7TM/</t>
  </si>
  <si>
    <t>[69d86082]</t>
  </si>
  <si>
    <t>https://www.tradingview.com/chart/QHfx1ted/</t>
  </si>
  <si>
    <t>[f18c01a1]</t>
  </si>
  <si>
    <t>https://www.tradingview.com/chart/8YLqhFBu/</t>
  </si>
  <si>
    <t>04.02.2025</t>
  </si>
  <si>
    <t>https://www.tradingview.com/chart/90qmMAaJ/</t>
  </si>
  <si>
    <t>NOV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</si>
</sst>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mmm\-d"/>
    <numFmt numFmtId="178" formatCode="mmmm\-d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9"/>
      <name val="Calibri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76" fontId="3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0" fontId="3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2" fontId="2" fillId="3" borderId="0" xfId="0" applyNumberFormat="1" applyFont="1" applyFill="1" applyAlignment="1">
      <alignment horizontal="left"/>
    </xf>
    <xf numFmtId="1" fontId="2" fillId="4" borderId="0" xfId="0" applyNumberFormat="1" applyFont="1" applyFill="1" applyAlignment="1">
      <alignment horizontal="left"/>
    </xf>
    <xf numFmtId="17" fontId="2" fillId="3" borderId="0" xfId="0" applyNumberFormat="1" applyFont="1" applyFill="1" applyAlignment="1">
      <alignment horizontal="left"/>
    </xf>
    <xf numFmtId="176" fontId="2" fillId="3" borderId="0" xfId="0" applyNumberFormat="1" applyFont="1" applyFill="1" applyAlignment="1">
      <alignment horizontal="left"/>
    </xf>
    <xf numFmtId="2" fontId="4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2" fillId="4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left"/>
    </xf>
    <xf numFmtId="176" fontId="2" fillId="4" borderId="0" xfId="0" applyNumberFormat="1" applyFont="1" applyFill="1" applyAlignment="1">
      <alignment horizontal="left"/>
    </xf>
    <xf numFmtId="2" fontId="5" fillId="4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1" fontId="1" fillId="4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1" fillId="5" borderId="0" xfId="0" applyFont="1" applyFill="1"/>
    <xf numFmtId="2" fontId="1" fillId="5" borderId="0" xfId="0" applyNumberFormat="1" applyFont="1" applyFill="1" applyAlignment="1">
      <alignment horizontal="left"/>
    </xf>
    <xf numFmtId="176" fontId="2" fillId="5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left"/>
    </xf>
    <xf numFmtId="1" fontId="1" fillId="5" borderId="0" xfId="0" applyNumberFormat="1" applyFont="1" applyFill="1" applyAlignment="1">
      <alignment horizontal="left"/>
    </xf>
    <xf numFmtId="4" fontId="1" fillId="5" borderId="0" xfId="0" applyNumberFormat="1" applyFont="1" applyFill="1" applyAlignment="1">
      <alignment horizontal="left"/>
    </xf>
    <xf numFmtId="3" fontId="1" fillId="5" borderId="0" xfId="0" applyNumberFormat="1" applyFont="1" applyFill="1" applyAlignment="1">
      <alignment horizontal="left"/>
    </xf>
    <xf numFmtId="177" fontId="2" fillId="5" borderId="0" xfId="0" applyNumberFormat="1" applyFont="1" applyFill="1" applyAlignment="1">
      <alignment horizontal="left"/>
    </xf>
    <xf numFmtId="2" fontId="6" fillId="5" borderId="0" xfId="0" applyNumberFormat="1" applyFont="1" applyFill="1" applyAlignment="1">
      <alignment horizontal="left"/>
    </xf>
    <xf numFmtId="0" fontId="7" fillId="5" borderId="0" xfId="0" applyFont="1" applyFill="1"/>
    <xf numFmtId="0" fontId="1" fillId="6" borderId="0" xfId="0" applyFont="1" applyFill="1" applyAlignment="1">
      <alignment horizontal="left"/>
    </xf>
    <xf numFmtId="176" fontId="3" fillId="6" borderId="0" xfId="0" applyNumberFormat="1" applyFont="1" applyFill="1" applyAlignment="1">
      <alignment horizontal="left"/>
    </xf>
    <xf numFmtId="1" fontId="3" fillId="6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1" fillId="4" borderId="0" xfId="0" applyFont="1" applyFill="1"/>
    <xf numFmtId="2" fontId="1" fillId="4" borderId="0" xfId="0" applyNumberFormat="1" applyFont="1" applyFill="1" applyAlignment="1">
      <alignment horizontal="left"/>
    </xf>
    <xf numFmtId="3" fontId="1" fillId="4" borderId="0" xfId="0" applyNumberFormat="1" applyFont="1" applyFill="1" applyAlignment="1">
      <alignment horizontal="left"/>
    </xf>
    <xf numFmtId="177" fontId="1" fillId="4" borderId="0" xfId="0" applyNumberFormat="1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0" fontId="9" fillId="4" borderId="0" xfId="0" applyFont="1" applyFill="1"/>
    <xf numFmtId="0" fontId="1" fillId="7" borderId="0" xfId="0" applyFont="1" applyFill="1" applyAlignment="1">
      <alignment horizontal="left"/>
    </xf>
    <xf numFmtId="2" fontId="1" fillId="7" borderId="0" xfId="0" applyNumberFormat="1" applyFont="1" applyFill="1" applyAlignment="1">
      <alignment horizontal="left"/>
    </xf>
    <xf numFmtId="1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left"/>
    </xf>
    <xf numFmtId="2" fontId="2" fillId="7" borderId="0" xfId="0" applyNumberFormat="1" applyFont="1" applyFill="1" applyAlignment="1">
      <alignment horizontal="left"/>
    </xf>
    <xf numFmtId="1" fontId="2" fillId="7" borderId="1" xfId="0" applyNumberFormat="1" applyFont="1" applyFill="1" applyBorder="1" applyAlignment="1">
      <alignment horizontal="left"/>
    </xf>
    <xf numFmtId="17" fontId="2" fillId="7" borderId="0" xfId="0" applyNumberFormat="1" applyFont="1" applyFill="1" applyAlignment="1">
      <alignment horizontal="left"/>
    </xf>
    <xf numFmtId="176" fontId="2" fillId="7" borderId="0" xfId="0" applyNumberFormat="1" applyFont="1" applyFill="1" applyAlignment="1">
      <alignment horizontal="left"/>
    </xf>
    <xf numFmtId="2" fontId="10" fillId="7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2" fillId="6" borderId="0" xfId="0" applyNumberFormat="1" applyFont="1" applyFill="1" applyAlignment="1">
      <alignment horizontal="left"/>
    </xf>
    <xf numFmtId="17" fontId="2" fillId="6" borderId="0" xfId="0" applyNumberFormat="1" applyFont="1" applyFill="1" applyAlignment="1">
      <alignment horizontal="left"/>
    </xf>
    <xf numFmtId="176" fontId="2" fillId="6" borderId="0" xfId="0" applyNumberFormat="1" applyFont="1" applyFill="1" applyAlignment="1">
      <alignment horizontal="left"/>
    </xf>
    <xf numFmtId="2" fontId="2" fillId="4" borderId="1" xfId="0" applyNumberFormat="1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2" fontId="2" fillId="8" borderId="1" xfId="0" applyNumberFormat="1" applyFont="1" applyFill="1" applyBorder="1" applyAlignment="1">
      <alignment horizontal="left"/>
    </xf>
    <xf numFmtId="1" fontId="1" fillId="8" borderId="0" xfId="0" applyNumberFormat="1" applyFont="1" applyFill="1" applyAlignment="1">
      <alignment horizontal="left"/>
    </xf>
    <xf numFmtId="2" fontId="2" fillId="8" borderId="0" xfId="0" applyNumberFormat="1" applyFont="1" applyFill="1" applyAlignment="1">
      <alignment horizontal="left"/>
    </xf>
    <xf numFmtId="1" fontId="2" fillId="8" borderId="0" xfId="0" applyNumberFormat="1" applyFont="1" applyFill="1" applyAlignment="1">
      <alignment horizontal="left"/>
    </xf>
    <xf numFmtId="17" fontId="2" fillId="8" borderId="0" xfId="0" applyNumberFormat="1" applyFont="1" applyFill="1" applyAlignment="1">
      <alignment horizontal="left"/>
    </xf>
    <xf numFmtId="176" fontId="2" fillId="8" borderId="0" xfId="0" applyNumberFormat="1" applyFont="1" applyFill="1" applyAlignment="1">
      <alignment horizontal="left"/>
    </xf>
    <xf numFmtId="2" fontId="11" fillId="8" borderId="0" xfId="0" applyNumberFormat="1" applyFont="1" applyFill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2" fontId="2" fillId="5" borderId="0" xfId="0" applyNumberFormat="1" applyFont="1" applyFill="1" applyAlignment="1">
      <alignment horizontal="left"/>
    </xf>
    <xf numFmtId="1" fontId="2" fillId="5" borderId="0" xfId="0" applyNumberFormat="1" applyFont="1" applyFill="1" applyAlignment="1">
      <alignment horizontal="left"/>
    </xf>
    <xf numFmtId="17" fontId="2" fillId="5" borderId="0" xfId="0" applyNumberFormat="1" applyFont="1" applyFill="1" applyAlignment="1">
      <alignment horizontal="left"/>
    </xf>
    <xf numFmtId="3" fontId="2" fillId="5" borderId="0" xfId="0" applyNumberFormat="1" applyFont="1" applyFill="1" applyAlignment="1">
      <alignment horizontal="left"/>
    </xf>
    <xf numFmtId="177" fontId="1" fillId="0" borderId="0" xfId="0" applyNumberFormat="1" applyFont="1" applyAlignment="1">
      <alignment horizontal="left"/>
    </xf>
    <xf numFmtId="176" fontId="1" fillId="0" borderId="0" xfId="0" applyNumberFormat="1" applyFont="1" applyAlignment="1">
      <alignment horizontal="left"/>
    </xf>
    <xf numFmtId="0" fontId="1" fillId="0" borderId="0" xfId="0" applyFont="1"/>
    <xf numFmtId="177" fontId="2" fillId="0" borderId="0" xfId="0" applyNumberFormat="1" applyFont="1" applyAlignment="1">
      <alignment horizontal="left"/>
    </xf>
    <xf numFmtId="176" fontId="12" fillId="0" borderId="0" xfId="0" applyNumberFormat="1" applyFont="1" applyAlignment="1">
      <alignment horizontal="left"/>
    </xf>
    <xf numFmtId="177" fontId="2" fillId="4" borderId="0" xfId="0" applyNumberFormat="1" applyFont="1" applyFill="1" applyAlignment="1">
      <alignment horizontal="left"/>
    </xf>
    <xf numFmtId="0" fontId="2" fillId="7" borderId="1" xfId="0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9" borderId="1" xfId="0" applyNumberFormat="1" applyFont="1" applyFill="1" applyBorder="1" applyAlignment="1">
      <alignment horizontal="left"/>
    </xf>
    <xf numFmtId="176" fontId="3" fillId="10" borderId="0" xfId="0" applyNumberFormat="1" applyFont="1" applyFill="1" applyAlignment="1">
      <alignment horizontal="left"/>
    </xf>
    <xf numFmtId="1" fontId="3" fillId="10" borderId="0" xfId="0" applyNumberFormat="1" applyFont="1" applyFill="1" applyAlignment="1">
      <alignment horizontal="left"/>
    </xf>
    <xf numFmtId="2" fontId="1" fillId="8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left"/>
    </xf>
    <xf numFmtId="1" fontId="1" fillId="11" borderId="0" xfId="0" applyNumberFormat="1" applyFont="1" applyFill="1" applyAlignment="1">
      <alignment horizontal="left"/>
    </xf>
    <xf numFmtId="2" fontId="2" fillId="11" borderId="0" xfId="0" applyNumberFormat="1" applyFont="1" applyFill="1" applyAlignment="1">
      <alignment horizontal="left"/>
    </xf>
    <xf numFmtId="17" fontId="2" fillId="11" borderId="0" xfId="0" applyNumberFormat="1" applyFont="1" applyFill="1" applyAlignment="1">
      <alignment horizontal="left"/>
    </xf>
    <xf numFmtId="176" fontId="2" fillId="11" borderId="0" xfId="0" applyNumberFormat="1" applyFont="1" applyFill="1" applyAlignment="1">
      <alignment horizontal="left"/>
    </xf>
    <xf numFmtId="2" fontId="13" fillId="11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1" fontId="2" fillId="8" borderId="1" xfId="0" applyNumberFormat="1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177" fontId="1" fillId="5" borderId="0" xfId="0" applyNumberFormat="1" applyFont="1" applyFill="1" applyAlignment="1">
      <alignment horizontal="left"/>
    </xf>
    <xf numFmtId="176" fontId="14" fillId="4" borderId="0" xfId="0" applyNumberFormat="1" applyFont="1" applyFill="1" applyAlignment="1">
      <alignment horizontal="left"/>
    </xf>
    <xf numFmtId="4" fontId="1" fillId="4" borderId="0" xfId="0" applyNumberFormat="1" applyFont="1" applyFill="1" applyAlignment="1">
      <alignment horizontal="left"/>
    </xf>
    <xf numFmtId="17" fontId="2" fillId="0" borderId="0" xfId="0" applyNumberFormat="1" applyFont="1" applyAlignment="1">
      <alignment horizontal="left"/>
    </xf>
    <xf numFmtId="178" fontId="1" fillId="0" borderId="0" xfId="0" applyNumberFormat="1" applyFont="1"/>
    <xf numFmtId="0" fontId="15" fillId="0" borderId="0" xfId="0" applyFont="1"/>
    <xf numFmtId="17" fontId="1" fillId="4" borderId="0" xfId="0" applyNumberFormat="1" applyFont="1" applyFill="1" applyAlignment="1">
      <alignment horizontal="left"/>
    </xf>
    <xf numFmtId="176" fontId="1" fillId="4" borderId="0" xfId="0" applyNumberFormat="1" applyFont="1" applyFill="1" applyAlignment="1">
      <alignment horizontal="left"/>
    </xf>
    <xf numFmtId="0" fontId="16" fillId="4" borderId="0" xfId="0" applyFont="1" applyFill="1" applyAlignment="1">
      <alignment horizontal="left"/>
    </xf>
    <xf numFmtId="17" fontId="1" fillId="0" borderId="0" xfId="0" applyNumberFormat="1" applyFont="1" applyAlignment="1">
      <alignment horizontal="left"/>
    </xf>
    <xf numFmtId="3" fontId="2" fillId="8" borderId="1" xfId="0" applyNumberFormat="1" applyFont="1" applyFill="1" applyBorder="1" applyAlignment="1">
      <alignment horizontal="left"/>
    </xf>
    <xf numFmtId="17" fontId="2" fillId="8" borderId="1" xfId="0" applyNumberFormat="1" applyFont="1" applyFill="1" applyBorder="1" applyAlignment="1">
      <alignment horizontal="left"/>
    </xf>
    <xf numFmtId="176" fontId="2" fillId="8" borderId="1" xfId="0" applyNumberFormat="1" applyFont="1" applyFill="1" applyBorder="1" applyAlignment="1">
      <alignment horizontal="left"/>
    </xf>
    <xf numFmtId="0" fontId="17" fillId="8" borderId="1" xfId="0" applyFont="1" applyFill="1" applyBorder="1" applyAlignment="1">
      <alignment horizontal="left"/>
    </xf>
    <xf numFmtId="0" fontId="1" fillId="8" borderId="0" xfId="0" applyFont="1" applyFill="1"/>
    <xf numFmtId="0" fontId="18" fillId="4" borderId="0" xfId="0" applyFont="1" applyFill="1" applyAlignment="1">
      <alignment horizontal="left"/>
    </xf>
    <xf numFmtId="3" fontId="2" fillId="8" borderId="0" xfId="0" applyNumberFormat="1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2" fillId="12" borderId="1" xfId="0" applyFont="1" applyFill="1" applyBorder="1" applyAlignment="1">
      <alignment horizontal="left"/>
    </xf>
    <xf numFmtId="1" fontId="1" fillId="12" borderId="0" xfId="0" applyNumberFormat="1" applyFont="1" applyFill="1" applyAlignment="1">
      <alignment horizontal="left"/>
    </xf>
    <xf numFmtId="1" fontId="2" fillId="12" borderId="1" xfId="0" applyNumberFormat="1" applyFont="1" applyFill="1" applyBorder="1" applyAlignment="1">
      <alignment horizontal="left"/>
    </xf>
    <xf numFmtId="2" fontId="1" fillId="12" borderId="0" xfId="0" applyNumberFormat="1" applyFont="1" applyFill="1" applyAlignment="1">
      <alignment horizontal="left"/>
    </xf>
    <xf numFmtId="3" fontId="1" fillId="12" borderId="0" xfId="0" applyNumberFormat="1" applyFont="1" applyFill="1" applyAlignment="1">
      <alignment horizontal="left"/>
    </xf>
    <xf numFmtId="17" fontId="1" fillId="12" borderId="0" xfId="0" applyNumberFormat="1" applyFont="1" applyFill="1" applyAlignment="1">
      <alignment horizontal="left"/>
    </xf>
    <xf numFmtId="176" fontId="2" fillId="12" borderId="0" xfId="0" applyNumberFormat="1" applyFont="1" applyFill="1" applyAlignment="1">
      <alignment horizontal="left"/>
    </xf>
    <xf numFmtId="0" fontId="20" fillId="12" borderId="0" xfId="0" applyFont="1" applyFill="1" applyAlignment="1">
      <alignment horizontal="left"/>
    </xf>
    <xf numFmtId="0" fontId="1" fillId="12" borderId="0" xfId="0" applyFont="1" applyFill="1"/>
    <xf numFmtId="0" fontId="21" fillId="4" borderId="0" xfId="0" applyFont="1" applyFill="1" applyAlignment="1">
      <alignment horizontal="left"/>
    </xf>
    <xf numFmtId="0" fontId="22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178" fontId="1" fillId="4" borderId="0" xfId="0" applyNumberFormat="1" applyFont="1" applyFill="1" applyAlignment="1">
      <alignment horizontal="left"/>
    </xf>
    <xf numFmtId="176" fontId="2" fillId="4" borderId="1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" fillId="13" borderId="1" xfId="0" applyFont="1" applyFill="1" applyBorder="1" applyAlignment="1">
      <alignment horizontal="left"/>
    </xf>
    <xf numFmtId="177" fontId="2" fillId="12" borderId="0" xfId="0" applyNumberFormat="1" applyFont="1" applyFill="1" applyAlignment="1">
      <alignment horizontal="left"/>
    </xf>
    <xf numFmtId="0" fontId="25" fillId="12" borderId="0" xfId="0" applyFont="1" applyFill="1"/>
    <xf numFmtId="0" fontId="26" fillId="0" borderId="0" xfId="0" applyFont="1"/>
    <xf numFmtId="0" fontId="2" fillId="9" borderId="0" xfId="0" applyFont="1" applyFill="1" applyAlignment="1">
      <alignment horizontal="left"/>
    </xf>
    <xf numFmtId="0" fontId="1" fillId="9" borderId="0" xfId="0" applyFont="1" applyFill="1"/>
    <xf numFmtId="0" fontId="1" fillId="9" borderId="0" xfId="0" applyFont="1" applyFill="1" applyAlignment="1">
      <alignment horizontal="left"/>
    </xf>
    <xf numFmtId="1" fontId="2" fillId="9" borderId="1" xfId="0" applyNumberFormat="1" applyFont="1" applyFill="1" applyBorder="1" applyAlignment="1">
      <alignment horizontal="left"/>
    </xf>
    <xf numFmtId="1" fontId="1" fillId="9" borderId="0" xfId="0" applyNumberFormat="1" applyFont="1" applyFill="1" applyAlignment="1">
      <alignment horizontal="left"/>
    </xf>
    <xf numFmtId="2" fontId="2" fillId="9" borderId="0" xfId="0" applyNumberFormat="1" applyFont="1" applyFill="1" applyAlignment="1">
      <alignment horizontal="left"/>
    </xf>
    <xf numFmtId="3" fontId="2" fillId="9" borderId="0" xfId="0" applyNumberFormat="1" applyFont="1" applyFill="1" applyAlignment="1">
      <alignment horizontal="left"/>
    </xf>
    <xf numFmtId="177" fontId="1" fillId="9" borderId="0" xfId="0" applyNumberFormat="1" applyFont="1" applyFill="1" applyAlignment="1">
      <alignment horizontal="left"/>
    </xf>
    <xf numFmtId="176" fontId="2" fillId="9" borderId="0" xfId="0" applyNumberFormat="1" applyFont="1" applyFill="1" applyAlignment="1">
      <alignment horizontal="left"/>
    </xf>
    <xf numFmtId="0" fontId="27" fillId="9" borderId="0" xfId="0" applyFont="1" applyFill="1"/>
    <xf numFmtId="2" fontId="2" fillId="12" borderId="0" xfId="0" applyNumberFormat="1" applyFont="1" applyFill="1" applyAlignment="1">
      <alignment horizontal="left"/>
    </xf>
    <xf numFmtId="3" fontId="2" fillId="12" borderId="0" xfId="0" applyNumberFormat="1" applyFont="1" applyFill="1" applyAlignment="1">
      <alignment horizontal="left"/>
    </xf>
    <xf numFmtId="177" fontId="1" fillId="12" borderId="0" xfId="0" applyNumberFormat="1" applyFont="1" applyFill="1" applyAlignment="1">
      <alignment horizontal="left"/>
    </xf>
    <xf numFmtId="0" fontId="28" fillId="4" borderId="0" xfId="0" applyFont="1" applyFill="1"/>
    <xf numFmtId="0" fontId="29" fillId="4" borderId="0" xfId="0" applyFont="1" applyFill="1"/>
    <xf numFmtId="4" fontId="1" fillId="12" borderId="0" xfId="0" applyNumberFormat="1" applyFont="1" applyFill="1" applyAlignment="1">
      <alignment horizontal="left"/>
    </xf>
    <xf numFmtId="176" fontId="30" fillId="0" borderId="0" xfId="0" applyNumberFormat="1" applyFont="1" applyAlignment="1">
      <alignment horizontal="left"/>
    </xf>
    <xf numFmtId="176" fontId="3" fillId="14" borderId="0" xfId="0" applyNumberFormat="1" applyFont="1" applyFill="1" applyAlignment="1">
      <alignment horizontal="left"/>
    </xf>
    <xf numFmtId="0" fontId="1" fillId="14" borderId="0" xfId="0" applyFont="1" applyFill="1" applyAlignment="1">
      <alignment horizontal="left"/>
    </xf>
    <xf numFmtId="0" fontId="1" fillId="14" borderId="0" xfId="0" applyFont="1" applyFill="1"/>
    <xf numFmtId="0" fontId="31" fillId="0" borderId="0" xfId="0" applyFont="1" applyAlignment="1">
      <alignment horizontal="left"/>
    </xf>
    <xf numFmtId="3" fontId="2" fillId="7" borderId="0" xfId="0" applyNumberFormat="1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1" fillId="7" borderId="0" xfId="0" applyFont="1" applyFill="1"/>
    <xf numFmtId="2" fontId="2" fillId="7" borderId="1" xfId="0" applyNumberFormat="1" applyFont="1" applyFill="1" applyBorder="1" applyAlignment="1">
      <alignment horizontal="left"/>
    </xf>
    <xf numFmtId="17" fontId="2" fillId="7" borderId="1" xfId="0" applyNumberFormat="1" applyFont="1" applyFill="1" applyBorder="1" applyAlignment="1">
      <alignment horizontal="left"/>
    </xf>
    <xf numFmtId="176" fontId="2" fillId="7" borderId="1" xfId="0" applyNumberFormat="1" applyFont="1" applyFill="1" applyBorder="1" applyAlignment="1">
      <alignment horizontal="left"/>
    </xf>
    <xf numFmtId="0" fontId="33" fillId="7" borderId="1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31" fillId="0" borderId="0" xfId="0" applyFont="1"/>
    <xf numFmtId="0" fontId="2" fillId="3" borderId="0" xfId="0" applyFont="1" applyFill="1" applyAlignment="1">
      <alignment horizontal="left"/>
    </xf>
    <xf numFmtId="0" fontId="1" fillId="3" borderId="0" xfId="0" applyFont="1" applyFill="1"/>
    <xf numFmtId="3" fontId="2" fillId="3" borderId="0" xfId="0" applyNumberFormat="1" applyFont="1" applyFill="1" applyAlignment="1">
      <alignment horizontal="left"/>
    </xf>
    <xf numFmtId="177" fontId="2" fillId="3" borderId="0" xfId="0" applyNumberFormat="1" applyFont="1" applyFill="1" applyAlignment="1">
      <alignment horizontal="left"/>
    </xf>
    <xf numFmtId="0" fontId="35" fillId="3" borderId="0" xfId="0" applyFont="1" applyFill="1"/>
    <xf numFmtId="0" fontId="31" fillId="4" borderId="0" xfId="0" applyFont="1" applyFill="1"/>
    <xf numFmtId="4" fontId="1" fillId="0" borderId="0" xfId="0" applyNumberFormat="1" applyFont="1" applyAlignment="1">
      <alignment horizontal="left"/>
    </xf>
    <xf numFmtId="177" fontId="1" fillId="7" borderId="0" xfId="0" applyNumberFormat="1" applyFont="1" applyFill="1" applyAlignment="1">
      <alignment horizontal="left"/>
    </xf>
    <xf numFmtId="0" fontId="31" fillId="7" borderId="0" xfId="0" applyFont="1" applyFill="1" applyAlignment="1">
      <alignment horizontal="left"/>
    </xf>
    <xf numFmtId="0" fontId="31" fillId="7" borderId="0" xfId="0" applyFont="1" applyFill="1"/>
    <xf numFmtId="3" fontId="1" fillId="7" borderId="0" xfId="0" applyNumberFormat="1" applyFont="1" applyFill="1" applyAlignment="1">
      <alignment horizontal="left"/>
    </xf>
    <xf numFmtId="0" fontId="36" fillId="0" borderId="0" xfId="0" applyFont="1"/>
    <xf numFmtId="0" fontId="37" fillId="0" borderId="0" xfId="0" applyFont="1"/>
    <xf numFmtId="177" fontId="2" fillId="7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常规" xfId="0" builtinId="0"/>
  </cellStyles>
  <dxfs count="8"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viddtech.com/strategy/igorek-aivsnn-btcusdt-76m-22-10-2024-copy/" TargetMode="External"/><Relationship Id="rId21" Type="http://schemas.openxmlformats.org/officeDocument/2006/relationships/hyperlink" Target="https://daviddtech.com/strategy/borawx-trendhoov5-solusdt-90m-30-07-copy/" TargetMode="External"/><Relationship Id="rId42" Type="http://schemas.openxmlformats.org/officeDocument/2006/relationships/hyperlink" Target="https://daviddtech.com/strategy/gentlesir-jptrendforce-adausdt-1h-15-10-2024-copy/" TargetMode="External"/><Relationship Id="rId47" Type="http://schemas.openxmlformats.org/officeDocument/2006/relationships/hyperlink" Target="https://daviddtech.com/strategy/hongfei_xx-glitchytrend-opusdt-1h-22-07-2025-copy/" TargetMode="External"/><Relationship Id="rId63" Type="http://schemas.openxmlformats.org/officeDocument/2006/relationships/hyperlink" Target="https://daviddtech.com/strategy/gentlesir-jptrendforce-adausdt-1h-15-10-2024-copy/" TargetMode="External"/><Relationship Id="rId68" Type="http://schemas.openxmlformats.org/officeDocument/2006/relationships/hyperlink" Target="https://daviddtech.com/strategy/hongfei_xx-glitchytrend-opusdt-1h-22-07-2025-copy/" TargetMode="External"/><Relationship Id="rId84" Type="http://schemas.openxmlformats.org/officeDocument/2006/relationships/hyperlink" Target="https://daviddtech.com/strategy/eth_deadzone_1hr-copy-croc5455/" TargetMode="External"/><Relationship Id="rId89" Type="http://schemas.openxmlformats.org/officeDocument/2006/relationships/hyperlink" Target="https://daviddtech.com/strategy/hongfei_xx-glitchytrend-opusdt-1h-22-07-2025-copy/" TargetMode="External"/><Relationship Id="rId16" Type="http://schemas.openxmlformats.org/officeDocument/2006/relationships/hyperlink" Target="https://daviddtech.com/strategy/creedomrings-trendhoo-mntusdt-37m-06-08-copy/" TargetMode="External"/><Relationship Id="rId11" Type="http://schemas.openxmlformats.org/officeDocument/2006/relationships/hyperlink" Target="https://daviddtech.com/strategy/gentlesir-jptrendforce-adausdt-1h-15-10-2024-copy/" TargetMode="External"/><Relationship Id="rId32" Type="http://schemas.openxmlformats.org/officeDocument/2006/relationships/hyperlink" Target="https://www.tradingview.com/chart/sLLqQaVx/" TargetMode="External"/><Relationship Id="rId37" Type="http://schemas.openxmlformats.org/officeDocument/2006/relationships/hyperlink" Target="https://daviddtech.com/strategy/igorek-aivsnn-btcusdt-76m-22-10-2024-copy/" TargetMode="External"/><Relationship Id="rId53" Type="http://schemas.openxmlformats.org/officeDocument/2006/relationships/hyperlink" Target="https://daviddtech.com/strategy/creedomrings-trendhoo-mntusdt-37m-06-08-copy/" TargetMode="External"/><Relationship Id="rId58" Type="http://schemas.openxmlformats.org/officeDocument/2006/relationships/hyperlink" Target="https://daviddtech.com/strategy/eth_deadzone_1hr-copy-croc5455/" TargetMode="External"/><Relationship Id="rId74" Type="http://schemas.openxmlformats.org/officeDocument/2006/relationships/hyperlink" Target="https://daviddtech.com/strategy/hongfei_xx-glitchytrend-opusdt-1h-22-07-2025-copy/" TargetMode="External"/><Relationship Id="rId79" Type="http://schemas.openxmlformats.org/officeDocument/2006/relationships/hyperlink" Target="https://daviddtech.com/strategy/igorek-aivsnn-btcusdt-76m-22-10-2024-copy/" TargetMode="External"/><Relationship Id="rId5" Type="http://schemas.openxmlformats.org/officeDocument/2006/relationships/hyperlink" Target="https://daviddtech.com/strategy/eth_deadzone_1hr-copy-croc5455/" TargetMode="External"/><Relationship Id="rId90" Type="http://schemas.openxmlformats.org/officeDocument/2006/relationships/hyperlink" Target="https://daviddtech.com/strategy/hongfei_xx-glitchytrend-opusdt-1h-22-07-2025-copy/" TargetMode="External"/><Relationship Id="rId95" Type="http://schemas.openxmlformats.org/officeDocument/2006/relationships/hyperlink" Target="https://daviddtech.com/strategy/reid-superfvmazl-vetusdt-1h-18-02-2025-copy/" TargetMode="External"/><Relationship Id="rId22" Type="http://schemas.openxmlformats.org/officeDocument/2006/relationships/hyperlink" Target="https://daviddtech.com/strategy/borawx-trendhoov5-solusdt-90m-30-07-copy/" TargetMode="External"/><Relationship Id="rId27" Type="http://schemas.openxmlformats.org/officeDocument/2006/relationships/hyperlink" Target="https://daviddtech.com/strategy/gentlesir-jptrendforce-adausdt-1h-15-10-2024-copy/" TargetMode="External"/><Relationship Id="rId43" Type="http://schemas.openxmlformats.org/officeDocument/2006/relationships/hyperlink" Target="https://daviddtech.com/strategy/creedomrings-trendhoo-mntusdt-37m-06-08-copy/" TargetMode="External"/><Relationship Id="rId48" Type="http://schemas.openxmlformats.org/officeDocument/2006/relationships/hyperlink" Target="https://daviddtech.com/strategy/eth_deadzone_1hr-copy-croc5455/" TargetMode="External"/><Relationship Id="rId64" Type="http://schemas.openxmlformats.org/officeDocument/2006/relationships/hyperlink" Target="https://daviddtech.com/strategy/gentlesir-jptrendforce-adausdt-1h-15-10-2024-copy/" TargetMode="External"/><Relationship Id="rId69" Type="http://schemas.openxmlformats.org/officeDocument/2006/relationships/hyperlink" Target="https://daviddtech.com/strategy/hongfei_xx-glitchytrend-opusdt-1h-22-07-2025-copy/" TargetMode="External"/><Relationship Id="rId80" Type="http://schemas.openxmlformats.org/officeDocument/2006/relationships/hyperlink" Target="https://daviddtech.com/strategy/igorek-aivsnn-btcusdt-76m-22-10-2024-copy/" TargetMode="External"/><Relationship Id="rId85" Type="http://schemas.openxmlformats.org/officeDocument/2006/relationships/hyperlink" Target="https://daviddtech.com/strategy/erki1972-hacolt-solusdt-30m-26-11-2024-copy/" TargetMode="External"/><Relationship Id="rId3" Type="http://schemas.openxmlformats.org/officeDocument/2006/relationships/hyperlink" Target="https://daviddtech.com/strategy/borawx-trendhoov5-solusdt-90m-30-07-copy/" TargetMode="External"/><Relationship Id="rId12" Type="http://schemas.openxmlformats.org/officeDocument/2006/relationships/hyperlink" Target="https://daviddtech.com/strategy/creedomrings-trendhoo-mntusdt-37m-06-08-copy/" TargetMode="External"/><Relationship Id="rId17" Type="http://schemas.openxmlformats.org/officeDocument/2006/relationships/hyperlink" Target="https://daviddtech.com/strategy/creedomrings-trendhoo-mntusdt-37m-06-08-copy/" TargetMode="External"/><Relationship Id="rId25" Type="http://schemas.openxmlformats.org/officeDocument/2006/relationships/hyperlink" Target="https://daviddtech.com/strategy/igorek-aivsnn-btcusdt-76m-22-10-2024-copy/" TargetMode="External"/><Relationship Id="rId33" Type="http://schemas.openxmlformats.org/officeDocument/2006/relationships/hyperlink" Target="https://daviddtech.com/strategy/fishyink-stiffsurge-nearusdt-1h-03-12-2024-copy/" TargetMode="External"/><Relationship Id="rId38" Type="http://schemas.openxmlformats.org/officeDocument/2006/relationships/hyperlink" Target="https://daviddtech.com/strategy/eth_deadzone_1hr-copy-croc5455/" TargetMode="External"/><Relationship Id="rId46" Type="http://schemas.openxmlformats.org/officeDocument/2006/relationships/hyperlink" Target="https://daviddtech.com/strategy/hongfei_xx-glitchytrend-opusdt-1h-22-07-2025-copy/" TargetMode="External"/><Relationship Id="rId59" Type="http://schemas.openxmlformats.org/officeDocument/2006/relationships/hyperlink" Target="https://daviddtech.com/strategy/borawx-trendhoov5-solusdt-90m-30-07-copy/" TargetMode="External"/><Relationship Id="rId67" Type="http://schemas.openxmlformats.org/officeDocument/2006/relationships/hyperlink" Target="https://daviddtech.com/strategy/fishyink-stiffsurge-nearusdt-1h-03-12-2024-copy/" TargetMode="External"/><Relationship Id="rId20" Type="http://schemas.openxmlformats.org/officeDocument/2006/relationships/hyperlink" Target="https://daviddtech.com/strategy/fishyink-stiffsurge-nearusdt-1h-03-12-2024-copy/" TargetMode="External"/><Relationship Id="rId41" Type="http://schemas.openxmlformats.org/officeDocument/2006/relationships/hyperlink" Target="https://daviddtech.com/strategy/gentlesir-jptrendforce-adausdt-1h-15-10-2024-copy/" TargetMode="External"/><Relationship Id="rId54" Type="http://schemas.openxmlformats.org/officeDocument/2006/relationships/hyperlink" Target="https://daviddtech.com/strategy/creedomrings-trendhoo-mntusdt-37m-06-08-copy/" TargetMode="External"/><Relationship Id="rId62" Type="http://schemas.openxmlformats.org/officeDocument/2006/relationships/hyperlink" Target="https://daviddtech.com/strategy/borawx-trendhoov5-solusdt-90m-30-07-copy/" TargetMode="External"/><Relationship Id="rId70" Type="http://schemas.openxmlformats.org/officeDocument/2006/relationships/hyperlink" Target="https://daviddtech.com/strategy/igorek-aivsnn-btcusdt-76m-22-10-2024-copy/" TargetMode="External"/><Relationship Id="rId75" Type="http://schemas.openxmlformats.org/officeDocument/2006/relationships/hyperlink" Target="https://daviddtech.com/strategy/creedomrings-trendhoo-mntusdt-37m-06-08-copy/" TargetMode="External"/><Relationship Id="rId83" Type="http://schemas.openxmlformats.org/officeDocument/2006/relationships/hyperlink" Target="https://daviddtech.com/strategy/inactive-bunie33-stiffzone-ethusdt-15m-16-4-copy/" TargetMode="External"/><Relationship Id="rId88" Type="http://schemas.openxmlformats.org/officeDocument/2006/relationships/hyperlink" Target="https://daviddtech.com/strategy/marcob-precisiontrendmastery-ethusdt-30m-17-12-2024-copy/" TargetMode="External"/><Relationship Id="rId91" Type="http://schemas.openxmlformats.org/officeDocument/2006/relationships/hyperlink" Target="https://daviddtech.com/strategy/fishyink-stiffsurge-nearusdt-1h-03-12-2024-copy/" TargetMode="External"/><Relationship Id="rId96" Type="http://schemas.openxmlformats.org/officeDocument/2006/relationships/hyperlink" Target="https://daviddtech.com/strategy/igorek-aivsnn-btcusdt-76m-22-10-2024-copy/" TargetMode="External"/><Relationship Id="rId1" Type="http://schemas.openxmlformats.org/officeDocument/2006/relationships/hyperlink" Target="https://daviddtech.com/strategy/hongfei_xx-glitchytrend-opusdt-1h-22-07-2025-copy/" TargetMode="External"/><Relationship Id="rId6" Type="http://schemas.openxmlformats.org/officeDocument/2006/relationships/hyperlink" Target="https://daviddtech.com/strategy/igorek-aivsnn-btcusdt-76m-22-10-2024-copy/" TargetMode="External"/><Relationship Id="rId15" Type="http://schemas.openxmlformats.org/officeDocument/2006/relationships/hyperlink" Target="https://daviddtech.com/strategy/gentlesir-jptrendforce-adausdt-1h-15-10-2024-copy/" TargetMode="External"/><Relationship Id="rId23" Type="http://schemas.openxmlformats.org/officeDocument/2006/relationships/hyperlink" Target="https://daviddtech.com/strategy/borawx-trendhoov5-solusdt-90m-30-07-copy/" TargetMode="External"/><Relationship Id="rId28" Type="http://schemas.openxmlformats.org/officeDocument/2006/relationships/hyperlink" Target="https://daviddtech.com/strategy/gentlesir-jptrendforce-adausdt-1h-15-10-2024-copy/" TargetMode="External"/><Relationship Id="rId36" Type="http://schemas.openxmlformats.org/officeDocument/2006/relationships/hyperlink" Target="https://daviddtech.com/strategy/igorek-aivsnn-btcusdt-76m-22-10-2024-copy/" TargetMode="External"/><Relationship Id="rId49" Type="http://schemas.openxmlformats.org/officeDocument/2006/relationships/hyperlink" Target="https://daviddtech.com/strategy/borawx-trendhoov5-solusdt-90m-30-07-copy/" TargetMode="External"/><Relationship Id="rId57" Type="http://schemas.openxmlformats.org/officeDocument/2006/relationships/hyperlink" Target="https://daviddtech.com/strategy/hongfei_xx-glitchytrend-opusdt-1h-22-07-2025-copy/" TargetMode="External"/><Relationship Id="rId10" Type="http://schemas.openxmlformats.org/officeDocument/2006/relationships/hyperlink" Target="https://daviddtech.com/strategy/gentlesir-jptrendforce-adausdt-1h-15-10-2024-copy/" TargetMode="External"/><Relationship Id="rId31" Type="http://schemas.openxmlformats.org/officeDocument/2006/relationships/hyperlink" Target="https://www.tradingview.com/chart/sLLqQaVx/" TargetMode="External"/><Relationship Id="rId44" Type="http://schemas.openxmlformats.org/officeDocument/2006/relationships/hyperlink" Target="https://daviddtech.com/strategy/creedomrings-trendhoo-mntusdt-37m-06-08-copy/" TargetMode="External"/><Relationship Id="rId52" Type="http://schemas.openxmlformats.org/officeDocument/2006/relationships/hyperlink" Target="https://daviddtech.com/strategy/gentlesir-jptrendforce-adausdt-1h-15-10-2024-copy/" TargetMode="External"/><Relationship Id="rId60" Type="http://schemas.openxmlformats.org/officeDocument/2006/relationships/hyperlink" Target="https://daviddtech.com/strategy/borawx-trendhoov5-solusdt-90m-30-07-copy/" TargetMode="External"/><Relationship Id="rId65" Type="http://schemas.openxmlformats.org/officeDocument/2006/relationships/hyperlink" Target="https://daviddtech.com/strategy/creedomrings-trendhoo-mntusdt-37m-06-08-copy/" TargetMode="External"/><Relationship Id="rId73" Type="http://schemas.openxmlformats.org/officeDocument/2006/relationships/hyperlink" Target="https://daviddtech.com/strategy/hongfei_xx-glitchytrend-opusdt-1h-22-07-2025-copy/" TargetMode="External"/><Relationship Id="rId78" Type="http://schemas.openxmlformats.org/officeDocument/2006/relationships/hyperlink" Target="https://daviddtech.com/strategy/gentlesir-jptrendforce-adausdt-1h-15-10-2024-copy/" TargetMode="External"/><Relationship Id="rId81" Type="http://schemas.openxmlformats.org/officeDocument/2006/relationships/hyperlink" Target="https://daviddtech.com/strategy/borawx-trendhoov5-solusdt-90m-30-07-copy/" TargetMode="External"/><Relationship Id="rId86" Type="http://schemas.openxmlformats.org/officeDocument/2006/relationships/hyperlink" Target="https://daviddtech.com/strategy/erki1972-hacolt-solusdt-30m-26-11-2024-copy/" TargetMode="External"/><Relationship Id="rId94" Type="http://schemas.openxmlformats.org/officeDocument/2006/relationships/hyperlink" Target="https://daviddtech.com/strategy/igorek-aivsnn-btcusdt-76m-22-10-2024-copy/" TargetMode="External"/><Relationship Id="rId4" Type="http://schemas.openxmlformats.org/officeDocument/2006/relationships/hyperlink" Target="https://daviddtech.com/strategy/borawx-trendhoov5-solusdt-90m-30-07-copy/" TargetMode="External"/><Relationship Id="rId9" Type="http://schemas.openxmlformats.org/officeDocument/2006/relationships/hyperlink" Target="https://daviddtech.com/strategy/inactive-chibuku-mcginleyv5-aaveusdt-45m-19-12-2/" TargetMode="External"/><Relationship Id="rId13" Type="http://schemas.openxmlformats.org/officeDocument/2006/relationships/hyperlink" Target="https://daviddtech.com/strategy/creedomrings-trendhoo-mntusdt-37m-06-08-copy/" TargetMode="External"/><Relationship Id="rId18" Type="http://schemas.openxmlformats.org/officeDocument/2006/relationships/hyperlink" Target="https://daviddtech.com/strategy/hongfei_xx-glitchytrend-opusdt-1h-22-07-2025-copy/" TargetMode="External"/><Relationship Id="rId39" Type="http://schemas.openxmlformats.org/officeDocument/2006/relationships/hyperlink" Target="https://daviddtech.com/strategy/borawx-trendhoov5-solusdt-90m-30-07-copy/" TargetMode="External"/><Relationship Id="rId34" Type="http://schemas.openxmlformats.org/officeDocument/2006/relationships/hyperlink" Target="https://daviddtech.com/strategy/hongfei_xx-glitchytrend-opusdt-1h-22-07-2025-copy/" TargetMode="External"/><Relationship Id="rId50" Type="http://schemas.openxmlformats.org/officeDocument/2006/relationships/hyperlink" Target="https://daviddtech.com/strategy/borawx-trendhoov5-solusdt-90m-30-07-copy/" TargetMode="External"/><Relationship Id="rId55" Type="http://schemas.openxmlformats.org/officeDocument/2006/relationships/hyperlink" Target="https://daviddtech.com/strategy/fishyink-stiffsurge-nearusdt-1h-03-12-2024-copy/" TargetMode="External"/><Relationship Id="rId76" Type="http://schemas.openxmlformats.org/officeDocument/2006/relationships/hyperlink" Target="https://daviddtech.com/strategy/creedomrings-trendhoo-mntusdt-37m-06-08-copy/" TargetMode="External"/><Relationship Id="rId97" Type="http://schemas.openxmlformats.org/officeDocument/2006/relationships/hyperlink" Target="https://daviddtech.com/strategy/igorek-aivsnn-btcusdt-76m-22-10-2024-copy/" TargetMode="External"/><Relationship Id="rId7" Type="http://schemas.openxmlformats.org/officeDocument/2006/relationships/hyperlink" Target="https://daviddtech.com/strategy/igorek-aivsnn-btcusdt-76m-22-10-2024-copy/" TargetMode="External"/><Relationship Id="rId71" Type="http://schemas.openxmlformats.org/officeDocument/2006/relationships/hyperlink" Target="https://daviddtech.com/strategy/igorek-aivsnn-btcusdt-76m-22-10-2024-copy/" TargetMode="External"/><Relationship Id="rId92" Type="http://schemas.openxmlformats.org/officeDocument/2006/relationships/hyperlink" Target="https://daviddtech.com/strategy/fishyink-stiffsurge-nearusdt-1h-03-12-2024-copy/" TargetMode="External"/><Relationship Id="rId2" Type="http://schemas.openxmlformats.org/officeDocument/2006/relationships/hyperlink" Target="https://daviddtech.com/strategy/borawx-trendhoov5-solusdt-90m-30-07-copy/" TargetMode="External"/><Relationship Id="rId29" Type="http://schemas.openxmlformats.org/officeDocument/2006/relationships/hyperlink" Target="https://daviddtech.com/strategy/creedomrings-trendhoo-mntusdt-37m-06-08-copy/" TargetMode="External"/><Relationship Id="rId24" Type="http://schemas.openxmlformats.org/officeDocument/2006/relationships/hyperlink" Target="https://daviddtech.com/strategy/eth_deadzone_1hr-copy-croc5455/" TargetMode="External"/><Relationship Id="rId40" Type="http://schemas.openxmlformats.org/officeDocument/2006/relationships/hyperlink" Target="https://daviddtech.com/strategy/borawx-trendhoov5-solusdt-90m-30-07-copy/" TargetMode="External"/><Relationship Id="rId45" Type="http://schemas.openxmlformats.org/officeDocument/2006/relationships/hyperlink" Target="https://daviddtech.com/strategy/fishyink-stiffsurge-nearusdt-1h-03-12-2024-copy/" TargetMode="External"/><Relationship Id="rId66" Type="http://schemas.openxmlformats.org/officeDocument/2006/relationships/hyperlink" Target="https://daviddtech.com/strategy/creedomrings-trendhoo-mntusdt-37m-06-08-copy/" TargetMode="External"/><Relationship Id="rId87" Type="http://schemas.openxmlformats.org/officeDocument/2006/relationships/hyperlink" Target="https://daviddtech.com/strategy/marcob-precisiontrendmastery-ethusdt-30m-17-12-2024-copy/" TargetMode="External"/><Relationship Id="rId61" Type="http://schemas.openxmlformats.org/officeDocument/2006/relationships/hyperlink" Target="https://daviddtech.com/strategy/borawx-trendhoov5-solusdt-90m-30-07-copy/" TargetMode="External"/><Relationship Id="rId82" Type="http://schemas.openxmlformats.org/officeDocument/2006/relationships/hyperlink" Target="https://daviddtech.com/strategy/borawx-trendhoov5-solusdt-90m-30-07-copy/" TargetMode="External"/><Relationship Id="rId19" Type="http://schemas.openxmlformats.org/officeDocument/2006/relationships/hyperlink" Target="https://daviddtech.com/strategy/hongfei_xx-glitchytrend-opusdt-1h-22-07-2025-copy/" TargetMode="External"/><Relationship Id="rId14" Type="http://schemas.openxmlformats.org/officeDocument/2006/relationships/hyperlink" Target="https://daviddtech.com/strategy/gentlesir-jptrendforce-adausdt-1h-15-10-2024-copy/" TargetMode="External"/><Relationship Id="rId30" Type="http://schemas.openxmlformats.org/officeDocument/2006/relationships/hyperlink" Target="https://daviddtech.com/strategy/creedomrings-trendhoo-mntusdt-37m-06-08-copy/" TargetMode="External"/><Relationship Id="rId35" Type="http://schemas.openxmlformats.org/officeDocument/2006/relationships/hyperlink" Target="https://daviddtech.com/strategy/hongfei_xx-glitchytrend-opusdt-1h-22-07-2025-copy/" TargetMode="External"/><Relationship Id="rId56" Type="http://schemas.openxmlformats.org/officeDocument/2006/relationships/hyperlink" Target="https://daviddtech.com/strategy/hongfei_xx-glitchytrend-opusdt-1h-22-07-2025-copy/" TargetMode="External"/><Relationship Id="rId77" Type="http://schemas.openxmlformats.org/officeDocument/2006/relationships/hyperlink" Target="https://daviddtech.com/strategy/gentlesir-jptrendforce-adausdt-1h-15-10-2024-copy/" TargetMode="External"/><Relationship Id="rId8" Type="http://schemas.openxmlformats.org/officeDocument/2006/relationships/hyperlink" Target="https://daviddtech.com/strategy/fishyink-stiffsurge-nearusdt-1h-03-12-2024-copy/" TargetMode="External"/><Relationship Id="rId51" Type="http://schemas.openxmlformats.org/officeDocument/2006/relationships/hyperlink" Target="https://daviddtech.com/strategy/gentlesir-jptrendforce-adausdt-1h-15-10-2024-copy/" TargetMode="External"/><Relationship Id="rId72" Type="http://schemas.openxmlformats.org/officeDocument/2006/relationships/hyperlink" Target="https://daviddtech.com/strategy/eth_deadzone_1hr-copy-croc5455/" TargetMode="External"/><Relationship Id="rId93" Type="http://schemas.openxmlformats.org/officeDocument/2006/relationships/hyperlink" Target="https://daviddtech.com/strategy/fishyink-stiffsurge-nearusdt-1h-03-12-2024-copy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dingview.com/chart/xxzEyDfw/" TargetMode="External"/><Relationship Id="rId18" Type="http://schemas.openxmlformats.org/officeDocument/2006/relationships/hyperlink" Target="https://www.tradingview.com/chart/dPRT8fSK/" TargetMode="External"/><Relationship Id="rId26" Type="http://schemas.openxmlformats.org/officeDocument/2006/relationships/hyperlink" Target="https://www.tradingview.com/chart/cMDH182g/" TargetMode="External"/><Relationship Id="rId39" Type="http://schemas.openxmlformats.org/officeDocument/2006/relationships/hyperlink" Target="https://www.tradingview.com/chart/9HGhrAiL/" TargetMode="External"/><Relationship Id="rId21" Type="http://schemas.openxmlformats.org/officeDocument/2006/relationships/hyperlink" Target="https://www.tradingview.com/chart/Yh9TaqZE/" TargetMode="External"/><Relationship Id="rId34" Type="http://schemas.openxmlformats.org/officeDocument/2006/relationships/hyperlink" Target="https://www.tradingview.com/chart/ovTE0wz5/" TargetMode="External"/><Relationship Id="rId42" Type="http://schemas.openxmlformats.org/officeDocument/2006/relationships/hyperlink" Target="https://www.tradingview.com/chart/dIwxPof0/" TargetMode="External"/><Relationship Id="rId47" Type="http://schemas.openxmlformats.org/officeDocument/2006/relationships/hyperlink" Target="https://www.tradingview.com/chart/sLLqQaVx/" TargetMode="External"/><Relationship Id="rId50" Type="http://schemas.openxmlformats.org/officeDocument/2006/relationships/hyperlink" Target="https://www.tradingview.com/chart/177cG60E/" TargetMode="External"/><Relationship Id="rId55" Type="http://schemas.openxmlformats.org/officeDocument/2006/relationships/hyperlink" Target="https://www.tradingview.com/chart/90qmMAaJ/" TargetMode="External"/><Relationship Id="rId7" Type="http://schemas.openxmlformats.org/officeDocument/2006/relationships/hyperlink" Target="https://www.tradingview.com/chart/WiKMqTet/" TargetMode="External"/><Relationship Id="rId2" Type="http://schemas.openxmlformats.org/officeDocument/2006/relationships/hyperlink" Target="https://www.tradingview.com/chart/Dvd9vGt5/" TargetMode="External"/><Relationship Id="rId16" Type="http://schemas.openxmlformats.org/officeDocument/2006/relationships/hyperlink" Target="https://www.tradingview.com/chart/rVeFMiU4/" TargetMode="External"/><Relationship Id="rId29" Type="http://schemas.openxmlformats.org/officeDocument/2006/relationships/hyperlink" Target="https://www.tradingview.com/chart/pLdFOLtD/" TargetMode="External"/><Relationship Id="rId11" Type="http://schemas.openxmlformats.org/officeDocument/2006/relationships/hyperlink" Target="https://www.tradingview.com/chart/elrmSYee/" TargetMode="External"/><Relationship Id="rId24" Type="http://schemas.openxmlformats.org/officeDocument/2006/relationships/hyperlink" Target="https://www.tradingview.com/chart/tJDJVri5/" TargetMode="External"/><Relationship Id="rId32" Type="http://schemas.openxmlformats.org/officeDocument/2006/relationships/hyperlink" Target="https://www.tradingview.com/chart/P8n5vn8V/" TargetMode="External"/><Relationship Id="rId37" Type="http://schemas.openxmlformats.org/officeDocument/2006/relationships/hyperlink" Target="https://www.tradingview.com/chart/93mHmuGN/" TargetMode="External"/><Relationship Id="rId40" Type="http://schemas.openxmlformats.org/officeDocument/2006/relationships/hyperlink" Target="https://www.tradingview.com/chart/CsNPJ40O/" TargetMode="External"/><Relationship Id="rId45" Type="http://schemas.openxmlformats.org/officeDocument/2006/relationships/hyperlink" Target="https://www.tradingview.com/chart/Yf0e8AQY/" TargetMode="External"/><Relationship Id="rId53" Type="http://schemas.openxmlformats.org/officeDocument/2006/relationships/hyperlink" Target="https://www.tradingview.com/chart/QHfx1ted/" TargetMode="External"/><Relationship Id="rId5" Type="http://schemas.openxmlformats.org/officeDocument/2006/relationships/hyperlink" Target="https://www.tradingview.com/chart/Kj5ZGHdw/" TargetMode="External"/><Relationship Id="rId10" Type="http://schemas.openxmlformats.org/officeDocument/2006/relationships/hyperlink" Target="https://www.tradingview.com/chart/CTC73Olh/" TargetMode="External"/><Relationship Id="rId19" Type="http://schemas.openxmlformats.org/officeDocument/2006/relationships/hyperlink" Target="https://www.tradingview.com/chart/oDhEAePi/" TargetMode="External"/><Relationship Id="rId31" Type="http://schemas.openxmlformats.org/officeDocument/2006/relationships/hyperlink" Target="https://www.tradingview.com/chart/IMFhBZl2/" TargetMode="External"/><Relationship Id="rId44" Type="http://schemas.openxmlformats.org/officeDocument/2006/relationships/hyperlink" Target="https://www.tradingview.com/chart/2AUW8k25/" TargetMode="External"/><Relationship Id="rId52" Type="http://schemas.openxmlformats.org/officeDocument/2006/relationships/hyperlink" Target="https://www.tradingview.com/chart/doHBT7TM/" TargetMode="External"/><Relationship Id="rId4" Type="http://schemas.openxmlformats.org/officeDocument/2006/relationships/hyperlink" Target="https://www.tradingview.com/chart/uNPZ2spK/" TargetMode="External"/><Relationship Id="rId9" Type="http://schemas.openxmlformats.org/officeDocument/2006/relationships/hyperlink" Target="https://www.tradingview.com/chart/ygHXwF84/" TargetMode="External"/><Relationship Id="rId14" Type="http://schemas.openxmlformats.org/officeDocument/2006/relationships/hyperlink" Target="https://www.tradingview.com/chart/lcNgD4pS/" TargetMode="External"/><Relationship Id="rId22" Type="http://schemas.openxmlformats.org/officeDocument/2006/relationships/hyperlink" Target="https://www.tradingview.com/chart/p2Bvj1LX/" TargetMode="External"/><Relationship Id="rId27" Type="http://schemas.openxmlformats.org/officeDocument/2006/relationships/hyperlink" Target="https://www.tradingview.com/chart/7HMGQSsJ/" TargetMode="External"/><Relationship Id="rId30" Type="http://schemas.openxmlformats.org/officeDocument/2006/relationships/hyperlink" Target="https://www.tradingview.com/chart/6cptM378/" TargetMode="External"/><Relationship Id="rId35" Type="http://schemas.openxmlformats.org/officeDocument/2006/relationships/hyperlink" Target="https://www.tradingview.com/chart/ZATMqHj7/" TargetMode="External"/><Relationship Id="rId43" Type="http://schemas.openxmlformats.org/officeDocument/2006/relationships/hyperlink" Target="https://www.tradingview.com/chart/gi8LCskw/" TargetMode="External"/><Relationship Id="rId48" Type="http://schemas.openxmlformats.org/officeDocument/2006/relationships/hyperlink" Target="https://www.tradingview.com/chart/OzqPeVXC/" TargetMode="External"/><Relationship Id="rId8" Type="http://schemas.openxmlformats.org/officeDocument/2006/relationships/hyperlink" Target="https://www.tradingview.com/chart/Q9MeKvVC/" TargetMode="External"/><Relationship Id="rId51" Type="http://schemas.openxmlformats.org/officeDocument/2006/relationships/hyperlink" Target="https://www.tradingview.com/chart/JaGkQQA4/" TargetMode="External"/><Relationship Id="rId3" Type="http://schemas.openxmlformats.org/officeDocument/2006/relationships/hyperlink" Target="https://www.tradingview.com/chart/A4cEqLik/" TargetMode="External"/><Relationship Id="rId12" Type="http://schemas.openxmlformats.org/officeDocument/2006/relationships/hyperlink" Target="https://www.tradingview.com/chart/285fzTJB/" TargetMode="External"/><Relationship Id="rId17" Type="http://schemas.openxmlformats.org/officeDocument/2006/relationships/hyperlink" Target="https://www.tradingview.com/chart/YxD2lfI2/" TargetMode="External"/><Relationship Id="rId25" Type="http://schemas.openxmlformats.org/officeDocument/2006/relationships/hyperlink" Target="https://www.tradingview.com/chart/mnGjsgoY/" TargetMode="External"/><Relationship Id="rId33" Type="http://schemas.openxmlformats.org/officeDocument/2006/relationships/hyperlink" Target="https://www.tradingview.com/chart/WLiNME8l/" TargetMode="External"/><Relationship Id="rId38" Type="http://schemas.openxmlformats.org/officeDocument/2006/relationships/hyperlink" Target="https://www.tradingview.com/chart/ng0akTZy/" TargetMode="External"/><Relationship Id="rId46" Type="http://schemas.openxmlformats.org/officeDocument/2006/relationships/hyperlink" Target="https://www.tradingview.com/chart/nM5aAdbF/" TargetMode="External"/><Relationship Id="rId20" Type="http://schemas.openxmlformats.org/officeDocument/2006/relationships/hyperlink" Target="https://www.tradingview.com/chart/2Jtw033J/" TargetMode="External"/><Relationship Id="rId41" Type="http://schemas.openxmlformats.org/officeDocument/2006/relationships/hyperlink" Target="https://www.tradingview.com/chart/NhxlUtzn/" TargetMode="External"/><Relationship Id="rId54" Type="http://schemas.openxmlformats.org/officeDocument/2006/relationships/hyperlink" Target="https://www.tradingview.com/chart/8YLqhFBu/" TargetMode="External"/><Relationship Id="rId1" Type="http://schemas.openxmlformats.org/officeDocument/2006/relationships/hyperlink" Target="https://www.tradingview.com/chart/EjQUtmuc/" TargetMode="External"/><Relationship Id="rId6" Type="http://schemas.openxmlformats.org/officeDocument/2006/relationships/hyperlink" Target="https://www.tradingview.com/chart/2vyQajE2/" TargetMode="External"/><Relationship Id="rId15" Type="http://schemas.openxmlformats.org/officeDocument/2006/relationships/hyperlink" Target="https://www.tradingview.com/chart/iSq6XFCC/" TargetMode="External"/><Relationship Id="rId23" Type="http://schemas.openxmlformats.org/officeDocument/2006/relationships/hyperlink" Target="https://www.tradingview.com/chart/9cT1VRvW/" TargetMode="External"/><Relationship Id="rId28" Type="http://schemas.openxmlformats.org/officeDocument/2006/relationships/hyperlink" Target="https://www.tradingview.com/chart/Xt8Libni/" TargetMode="External"/><Relationship Id="rId36" Type="http://schemas.openxmlformats.org/officeDocument/2006/relationships/hyperlink" Target="https://www.tradingview.com/chart/vmVdEFrf/" TargetMode="External"/><Relationship Id="rId49" Type="http://schemas.openxmlformats.org/officeDocument/2006/relationships/hyperlink" Target="https://www.tradingview.com/chart/HbR0OQP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125"/>
  <sheetViews>
    <sheetView workbookViewId="0">
      <selection activeCell="O3" sqref="O3"/>
    </sheetView>
  </sheetViews>
  <sheetFormatPr baseColWidth="10" defaultColWidth="14.5" defaultRowHeight="15" customHeight="1" x14ac:dyDescent="0.2"/>
  <cols>
    <col min="1" max="1" width="7" customWidth="1"/>
    <col min="2" max="2" width="8.6640625" customWidth="1"/>
    <col min="3" max="3" width="9.83203125" customWidth="1"/>
    <col min="4" max="4" width="13.6640625" customWidth="1"/>
    <col min="5" max="5" width="9.83203125" customWidth="1"/>
    <col min="6" max="6" width="14" customWidth="1"/>
    <col min="7" max="7" width="8.5" customWidth="1"/>
    <col min="8" max="10" width="9.5" customWidth="1"/>
    <col min="11" max="11" width="7.33203125" customWidth="1"/>
    <col min="12" max="12" width="11.5" customWidth="1"/>
    <col min="13" max="13" width="7.1640625" customWidth="1"/>
    <col min="14" max="14" width="11.83203125" customWidth="1"/>
    <col min="15" max="20" width="14.33203125" customWidth="1"/>
    <col min="21" max="21" width="6.6640625" customWidth="1"/>
    <col min="22" max="24" width="9" customWidth="1"/>
    <col min="25" max="119" width="8.6640625" customWidth="1"/>
  </cols>
  <sheetData>
    <row r="1" spans="1:119" ht="14.25" customHeight="1" x14ac:dyDescent="0.2">
      <c r="A1" s="1"/>
      <c r="B1" s="1" t="s">
        <v>0</v>
      </c>
      <c r="C1" s="1"/>
      <c r="D1" s="1"/>
      <c r="E1" s="1"/>
      <c r="F1" s="1"/>
      <c r="G1" s="1"/>
      <c r="H1" s="1"/>
      <c r="I1" s="2"/>
      <c r="J1" s="2"/>
      <c r="K1" s="1"/>
      <c r="L1" s="184"/>
      <c r="M1" s="185"/>
      <c r="N1" s="1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14.25" customHeight="1" x14ac:dyDescent="0.2">
      <c r="A2" s="1"/>
      <c r="B2" s="1" t="s">
        <v>1</v>
      </c>
      <c r="C2" s="1"/>
      <c r="D2" s="1"/>
      <c r="E2" s="1"/>
      <c r="F2" s="1"/>
      <c r="G2" s="1"/>
      <c r="H2" s="1"/>
      <c r="I2" s="2"/>
      <c r="J2" s="2"/>
      <c r="K2" s="1"/>
      <c r="L2" s="1"/>
      <c r="M2" s="4"/>
      <c r="N2" s="1"/>
      <c r="O2" s="3"/>
      <c r="P2" s="3"/>
      <c r="Q2" s="3"/>
      <c r="R2" s="3"/>
      <c r="S2" s="3"/>
      <c r="T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ht="14.2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6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</row>
    <row r="4" spans="1:119" ht="14.25" customHeight="1" x14ac:dyDescent="0.2">
      <c r="A4" s="5"/>
      <c r="B4" s="5" t="s">
        <v>26</v>
      </c>
      <c r="C4" s="5">
        <v>5000</v>
      </c>
      <c r="D4" s="5" t="s">
        <v>27</v>
      </c>
      <c r="E4" s="5">
        <v>14000</v>
      </c>
      <c r="F4" s="5"/>
      <c r="G4" s="5"/>
      <c r="H4" s="5"/>
      <c r="I4" s="6"/>
      <c r="J4" s="6"/>
      <c r="K4" s="5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</row>
    <row r="5" spans="1:119" ht="14.25" customHeight="1" x14ac:dyDescent="0.2">
      <c r="A5" s="8" t="str">
        <f t="shared" ref="A5:A15" si="0">D5&amp;"|"&amp;E5&amp;"|"&amp;F5&amp;"|"&amp;G5</f>
        <v>[17ab2738]|ARB|stiff Surge|45m</v>
      </c>
      <c r="B5" s="8" t="s">
        <v>28</v>
      </c>
      <c r="C5" s="9">
        <f t="shared" ref="C5:C15" si="1">H5/$C$4</f>
        <v>1</v>
      </c>
      <c r="D5" s="8" t="s">
        <v>29</v>
      </c>
      <c r="E5" s="8" t="s">
        <v>30</v>
      </c>
      <c r="F5" s="8" t="s">
        <v>31</v>
      </c>
      <c r="G5" s="8" t="s">
        <v>32</v>
      </c>
      <c r="H5" s="10">
        <v>5000</v>
      </c>
      <c r="I5" s="10">
        <f t="shared" ref="I5:I13" si="2">H5*0.21</f>
        <v>1050</v>
      </c>
      <c r="J5" s="10">
        <v>1200</v>
      </c>
      <c r="K5" s="8">
        <v>27</v>
      </c>
      <c r="L5" s="11">
        <f t="array" ref="L5">IFERROR(INDEX('Strategy Watchlist'!L:L,MATCH($A5,'Strategy Watchlist'!$A:$A,0)),"Not Found")</f>
        <v>10.965644171779141</v>
      </c>
      <c r="M5" s="12">
        <f t="array" ref="M5">IFERROR(INDEX('Strategy Watchlist'!M:M,MATCH($A5,'Strategy Watchlist'!$A:$A,0)),"Not Found")</f>
        <v>824</v>
      </c>
      <c r="N5" s="13">
        <f t="array" ref="N5">IFERROR(INDEX('Strategy Watchlist'!N:N,MATCH($A5,'Strategy Watchlist'!$A:$A,0)),"Not Found")</f>
        <v>45689</v>
      </c>
      <c r="O5" s="14">
        <f t="array" ref="O5">IFERROR(INDEX('Strategy Watchlist'!P:P,MATCH($A5,'Strategy Watchlist'!$A:$A,0)),"Not Found")</f>
        <v>-1.7</v>
      </c>
      <c r="P5" s="14">
        <f t="array" ref="P5">IFERROR(INDEX('Strategy Watchlist'!Q:Q,MATCH($A5,'Strategy Watchlist'!$A:$A,0)),"Not Found")</f>
        <v>-6.85</v>
      </c>
      <c r="Q5" s="14">
        <f t="array" ref="Q5">IFERROR(INDEX('Strategy Watchlist'!R:R,MATCH($A5,'Strategy Watchlist'!$A:$A,0)),"Not Found")</f>
        <v>1.99</v>
      </c>
      <c r="R5" s="14">
        <f t="array" ref="R5">IFERROR(INDEX('Strategy Watchlist'!S:S,MATCH($A5,'Strategy Watchlist'!$A:$A,0)),"Not Found")</f>
        <v>6.96</v>
      </c>
      <c r="S5" s="14">
        <f t="array" ref="S5">IFERROR(INDEX('Strategy Watchlist'!T:T,MATCH($A5,'Strategy Watchlist'!$A:$A,0)),"Not Found")</f>
        <v>8.0739999999999998</v>
      </c>
      <c r="T5" s="14">
        <f t="array" ref="T5">IFERROR(INDEX('Strategy Watchlist'!U:U,MATCH($A5,'Strategy Watchlist'!$A:$A,0)),"Not Found")</f>
        <v>11.5</v>
      </c>
      <c r="U5" s="14">
        <f t="array" ref="U5">IFERROR(INDEX('Strategy Watchlist'!V:V,MATCH($A5,'Strategy Watchlist'!$A:$A,0)),"Not Found")</f>
        <v>2.75</v>
      </c>
      <c r="V5" s="14">
        <f t="array" ref="V5">IFERROR(INDEX('Strategy Watchlist'!W:W,MATCH($A5,'Strategy Watchlist'!$A:$A,0)),"Not Found")</f>
        <v>2.57</v>
      </c>
      <c r="W5" s="14">
        <f t="array" ref="W5">IFERROR(INDEX('Strategy Watchlist'!X:X,MATCH($A5,'Strategy Watchlist'!$A:$A,0)),"Not Found")</f>
        <v>6.31</v>
      </c>
      <c r="X5" s="14">
        <f t="array" ref="X5">IFERROR(INDEX('Strategy Watchlist'!Y:Y,MATCH($A5,'Strategy Watchlist'!$A:$A,0)),"Not Found")</f>
        <v>7.91</v>
      </c>
      <c r="Y5" s="15" t="str">
        <f t="array" ref="Y5">IFERROR(INDEX('Strategy Watchlist'!Z:Z,MATCH($A5,'Strategy Watchlist'!$A:$A,0)),"Not Found")</f>
        <v>https://www.tradingview.com/chart/EjQUtmuc/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</row>
    <row r="6" spans="1:119" ht="14.25" customHeight="1" x14ac:dyDescent="0.2">
      <c r="A6" s="8" t="str">
        <f t="shared" si="0"/>
        <v>|DOGE|MACD|45m</v>
      </c>
      <c r="B6" s="8" t="s">
        <v>28</v>
      </c>
      <c r="C6" s="9">
        <f t="shared" si="1"/>
        <v>0.4</v>
      </c>
      <c r="D6" s="8"/>
      <c r="E6" s="8" t="s">
        <v>33</v>
      </c>
      <c r="F6" s="8" t="s">
        <v>34</v>
      </c>
      <c r="G6" s="8" t="s">
        <v>32</v>
      </c>
      <c r="H6" s="10">
        <v>2000</v>
      </c>
      <c r="I6" s="10">
        <f t="shared" si="2"/>
        <v>420</v>
      </c>
      <c r="J6" s="10">
        <v>800</v>
      </c>
      <c r="K6" s="8">
        <v>30</v>
      </c>
      <c r="L6" s="11">
        <f t="array" ref="L6">IFERROR(INDEX('Strategy Watchlist'!L:L,MATCH($A6,'Strategy Watchlist'!$A:$A,0)),"Not Found")</f>
        <v>6.8331771321462043</v>
      </c>
      <c r="M6" s="16">
        <f t="array" ref="M6">IFERROR(INDEX('Strategy Watchlist'!M:M,MATCH($A6,'Strategy Watchlist'!$A:$A,0)),"Not Found")</f>
        <v>147</v>
      </c>
      <c r="N6" s="13">
        <f t="array" ref="N6">IFERROR(INDEX('Strategy Watchlist'!N:N,MATCH($A6,'Strategy Watchlist'!$A:$A,0)),"Not Found")</f>
        <v>45662</v>
      </c>
      <c r="O6" s="14">
        <f t="array" ref="O6">IFERROR(INDEX('Strategy Watchlist'!P:P,MATCH($A6,'Strategy Watchlist'!$A:$A,0)),"Not Found")</f>
        <v>-3.88</v>
      </c>
      <c r="P6" s="14">
        <f t="array" ref="P6">IFERROR(INDEX('Strategy Watchlist'!Q:Q,MATCH($A6,'Strategy Watchlist'!$A:$A,0)),"Not Found")</f>
        <v>5.91</v>
      </c>
      <c r="Q6" s="14">
        <f t="array" ref="Q6">IFERROR(INDEX('Strategy Watchlist'!R:R,MATCH($A6,'Strategy Watchlist'!$A:$A,0)),"Not Found")</f>
        <v>-0.08</v>
      </c>
      <c r="R6" s="14">
        <f t="array" ref="R6">IFERROR(INDEX('Strategy Watchlist'!S:S,MATCH($A6,'Strategy Watchlist'!$A:$A,0)),"Not Found")</f>
        <v>4.72</v>
      </c>
      <c r="S6" s="14">
        <f t="array" ref="S6">IFERROR(INDEX('Strategy Watchlist'!T:T,MATCH($A6,'Strategy Watchlist'!$A:$A,0)),"Not Found")</f>
        <v>8.93</v>
      </c>
      <c r="T6" s="14">
        <f t="array" ref="T6">IFERROR(INDEX('Strategy Watchlist'!U:U,MATCH($A6,'Strategy Watchlist'!$A:$A,0)),"Not Found")</f>
        <v>2.69</v>
      </c>
      <c r="U6" s="14">
        <f t="array" ref="U6">IFERROR(INDEX('Strategy Watchlist'!V:V,MATCH($A6,'Strategy Watchlist'!$A:$A,0)),"Not Found")</f>
        <v>2.04</v>
      </c>
      <c r="V6" s="14">
        <f t="array" ref="V6">IFERROR(INDEX('Strategy Watchlist'!W:W,MATCH($A6,'Strategy Watchlist'!$A:$A,0)),"Not Found")</f>
        <v>5.31</v>
      </c>
      <c r="W6" s="14">
        <f t="array" ref="W6">IFERROR(INDEX('Strategy Watchlist'!X:X,MATCH($A6,'Strategy Watchlist'!$A:$A,0)),"Not Found")</f>
        <v>0.72</v>
      </c>
      <c r="X6" s="14">
        <f t="array" ref="X6">IFERROR(INDEX('Strategy Watchlist'!Y:Y,MATCH($A6,'Strategy Watchlist'!$A:$A,0)),"Not Found")</f>
        <v>3.27</v>
      </c>
      <c r="Y6" s="15" t="str">
        <f t="array" ref="Y6">IFERROR(INDEX('Strategy Watchlist'!Z:Z,MATCH($A6,'Strategy Watchlist'!$A:$A,0)),"Not Found")</f>
        <v>https://www.tradingview.com/chart/Dvd9vGt5/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</row>
    <row r="7" spans="1:119" ht="14.25" customHeight="1" x14ac:dyDescent="0.2">
      <c r="A7" s="17" t="str">
        <f t="shared" si="0"/>
        <v>[e92283ec]|HBAR|Heiken-Ashi|30m</v>
      </c>
      <c r="B7" s="1" t="s">
        <v>28</v>
      </c>
      <c r="C7" s="18">
        <f t="shared" si="1"/>
        <v>0.6</v>
      </c>
      <c r="D7" s="1" t="s">
        <v>35</v>
      </c>
      <c r="E7" s="1" t="s">
        <v>36</v>
      </c>
      <c r="F7" s="1" t="s">
        <v>37</v>
      </c>
      <c r="G7" s="1" t="s">
        <v>38</v>
      </c>
      <c r="H7" s="2">
        <v>3000</v>
      </c>
      <c r="I7" s="2">
        <f t="shared" si="2"/>
        <v>630</v>
      </c>
      <c r="J7" s="2">
        <v>630</v>
      </c>
      <c r="K7" s="1">
        <v>30</v>
      </c>
      <c r="L7" s="19">
        <f t="array" ref="L7">IFERROR(INDEX('Strategy Watchlist'!L:L,MATCH($A7,'Strategy Watchlist'!$A:$A,0)),"Not Found")</f>
        <v>6.7744000000000009</v>
      </c>
      <c r="M7" s="12">
        <f t="array" ref="M7">IFERROR(INDEX('Strategy Watchlist'!M:M,MATCH($A7,'Strategy Watchlist'!$A:$A,0)),"Not Found")</f>
        <v>224</v>
      </c>
      <c r="N7" s="20">
        <f t="array" ref="N7">IFERROR(INDEX('Strategy Watchlist'!N:N,MATCH($A7,'Strategy Watchlist'!$A:$A,0)),"Not Found")</f>
        <v>45833</v>
      </c>
      <c r="O7" s="14">
        <f t="array" ref="O7">IFERROR(INDEX('Strategy Watchlist'!P:P,MATCH($A7,'Strategy Watchlist'!$A:$A,0)),"Not Found")</f>
        <v>1.01</v>
      </c>
      <c r="P7" s="21">
        <f t="array" ref="P7">IFERROR(INDEX('Strategy Watchlist'!Q:Q,MATCH($A7,'Strategy Watchlist'!$A:$A,0)),"Not Found")</f>
        <v>-1.1499999999999999</v>
      </c>
      <c r="Q7" s="21">
        <f t="array" ref="Q7">IFERROR(INDEX('Strategy Watchlist'!R:R,MATCH($A7,'Strategy Watchlist'!$A:$A,0)),"Not Found")</f>
        <v>0.83</v>
      </c>
      <c r="R7" s="21">
        <f t="array" ref="R7">IFERROR(INDEX('Strategy Watchlist'!S:S,MATCH($A7,'Strategy Watchlist'!$A:$A,0)),"Not Found")</f>
        <v>1.52</v>
      </c>
      <c r="S7" s="21">
        <f t="array" ref="S7">IFERROR(INDEX('Strategy Watchlist'!T:T,MATCH($A7,'Strategy Watchlist'!$A:$A,0)),"Not Found")</f>
        <v>-0.03</v>
      </c>
      <c r="T7" s="21">
        <f t="array" ref="T7">IFERROR(INDEX('Strategy Watchlist'!U:U,MATCH($A7,'Strategy Watchlist'!$A:$A,0)),"Not Found")</f>
        <v>4.38</v>
      </c>
      <c r="U7" s="21">
        <f t="array" ref="U7">IFERROR(INDEX('Strategy Watchlist'!V:V,MATCH($A7,'Strategy Watchlist'!$A:$A,0)),"Not Found")</f>
        <v>1.95</v>
      </c>
      <c r="V7" s="21">
        <f t="array" ref="V7">IFERROR(INDEX('Strategy Watchlist'!W:W,MATCH($A7,'Strategy Watchlist'!$A:$A,0)),"Not Found")</f>
        <v>1.98</v>
      </c>
      <c r="W7" s="21">
        <f t="array" ref="W7">IFERROR(INDEX('Strategy Watchlist'!X:X,MATCH($A7,'Strategy Watchlist'!$A:$A,0)),"Not Found")</f>
        <v>4.59</v>
      </c>
      <c r="X7" s="21">
        <f t="array" ref="X7">IFERROR(INDEX('Strategy Watchlist'!Y:Y,MATCH($A7,'Strategy Watchlist'!$A:$A,0)),"Not Found")</f>
        <v>-1.3</v>
      </c>
      <c r="Y7" s="22" t="str">
        <f t="array" ref="Y7">IFERROR(INDEX('Strategy Watchlist'!Z:Z,MATCH($A7,'Strategy Watchlist'!$A:$A,0)),"Not Found")</f>
        <v>https://www.tradingview.com/chart/ygHXwF84/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ht="14.25" customHeight="1" x14ac:dyDescent="0.2">
      <c r="A8" s="17" t="str">
        <f t="shared" si="0"/>
        <v>[f80d2657]|PePe|JP Trend|30m</v>
      </c>
      <c r="B8" s="1" t="s">
        <v>28</v>
      </c>
      <c r="C8" s="18">
        <f t="shared" si="1"/>
        <v>0.8</v>
      </c>
      <c r="D8" s="1" t="s">
        <v>39</v>
      </c>
      <c r="E8" s="1" t="s">
        <v>40</v>
      </c>
      <c r="F8" s="1" t="s">
        <v>41</v>
      </c>
      <c r="G8" s="1" t="s">
        <v>38</v>
      </c>
      <c r="H8" s="2">
        <v>4000</v>
      </c>
      <c r="I8" s="2">
        <f t="shared" si="2"/>
        <v>840</v>
      </c>
      <c r="J8" s="2">
        <v>840</v>
      </c>
      <c r="K8" s="1">
        <v>30</v>
      </c>
      <c r="L8" s="19">
        <f t="array" ref="L8">IFERROR(INDEX('Strategy Watchlist'!L:L,MATCH($A8,'Strategy Watchlist'!$A:$A,0)),"Not Found")</f>
        <v>11.341645885286782</v>
      </c>
      <c r="M8" s="12">
        <f t="array" ref="M8">IFERROR(INDEX('Strategy Watchlist'!M:M,MATCH($A8,'Strategy Watchlist'!$A:$A,0)),"Not Found")</f>
        <v>302</v>
      </c>
      <c r="N8" s="20">
        <f t="array" ref="N8">IFERROR(INDEX('Strategy Watchlist'!N:N,MATCH($A8,'Strategy Watchlist'!$A:$A,0)),"Not Found")</f>
        <v>45662</v>
      </c>
      <c r="O8" s="14">
        <f t="array" ref="O8">IFERROR(INDEX('Strategy Watchlist'!P:P,MATCH($A8,'Strategy Watchlist'!$A:$A,0)),"Not Found")</f>
        <v>3.05</v>
      </c>
      <c r="P8" s="21">
        <f t="array" ref="P8">IFERROR(INDEX('Strategy Watchlist'!Q:Q,MATCH($A8,'Strategy Watchlist'!$A:$A,0)),"Not Found")</f>
        <v>1.52</v>
      </c>
      <c r="Q8" s="21">
        <f t="array" ref="Q8">IFERROR(INDEX('Strategy Watchlist'!R:R,MATCH($A8,'Strategy Watchlist'!$A:$A,0)),"Not Found")</f>
        <v>-3.15</v>
      </c>
      <c r="R8" s="21">
        <f t="array" ref="R8">IFERROR(INDEX('Strategy Watchlist'!S:S,MATCH($A8,'Strategy Watchlist'!$A:$A,0)),"Not Found")</f>
        <v>2.2999999999999998</v>
      </c>
      <c r="S8" s="21">
        <f t="array" ref="S8">IFERROR(INDEX('Strategy Watchlist'!T:T,MATCH($A8,'Strategy Watchlist'!$A:$A,0)),"Not Found")</f>
        <v>-0.12</v>
      </c>
      <c r="T8" s="21">
        <f t="array" ref="T8">IFERROR(INDEX('Strategy Watchlist'!U:U,MATCH($A8,'Strategy Watchlist'!$A:$A,0)),"Not Found")</f>
        <v>5.69</v>
      </c>
      <c r="U8" s="21">
        <f t="array" ref="U8">IFERROR(INDEX('Strategy Watchlist'!V:V,MATCH($A8,'Strategy Watchlist'!$A:$A,0)),"Not Found")</f>
        <v>-1.33</v>
      </c>
      <c r="V8" s="21">
        <f t="array" ref="V8">IFERROR(INDEX('Strategy Watchlist'!W:W,MATCH($A8,'Strategy Watchlist'!$A:$A,0)),"Not Found")</f>
        <v>2.12</v>
      </c>
      <c r="W8" s="21">
        <f t="array" ref="W8">IFERROR(INDEX('Strategy Watchlist'!X:X,MATCH($A8,'Strategy Watchlist'!$A:$A,0)),"Not Found")</f>
        <v>3.07</v>
      </c>
      <c r="X8" s="21">
        <f t="array" ref="X8">IFERROR(INDEX('Strategy Watchlist'!Y:Y,MATCH($A8,'Strategy Watchlist'!$A:$A,0)),"Not Found")</f>
        <v>3.75</v>
      </c>
      <c r="Y8" s="22" t="str">
        <f t="array" ref="Y8">IFERROR(INDEX('Strategy Watchlist'!Z:Z,MATCH($A8,'Strategy Watchlist'!$A:$A,0)),"Not Found")</f>
        <v>https://www.tradingview.com/chart/uNPZ2spK/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ht="14.25" customHeight="1" x14ac:dyDescent="0.2">
      <c r="A9" s="17" t="str">
        <f t="shared" si="0"/>
        <v>[0c4624b7]|SOL|volVangard|30m</v>
      </c>
      <c r="B9" s="1" t="s">
        <v>28</v>
      </c>
      <c r="C9" s="18">
        <f t="shared" si="1"/>
        <v>0.8</v>
      </c>
      <c r="D9" s="1" t="s">
        <v>42</v>
      </c>
      <c r="E9" s="1" t="s">
        <v>43</v>
      </c>
      <c r="F9" s="1" t="s">
        <v>44</v>
      </c>
      <c r="G9" s="1" t="s">
        <v>38</v>
      </c>
      <c r="H9" s="2">
        <v>4000</v>
      </c>
      <c r="I9" s="2">
        <f t="shared" si="2"/>
        <v>840</v>
      </c>
      <c r="J9" s="2">
        <f t="shared" ref="J9:J12" si="3">I9</f>
        <v>840</v>
      </c>
      <c r="K9" s="2">
        <v>47</v>
      </c>
      <c r="L9" s="19">
        <f t="array" ref="L9">IFERROR(INDEX('Strategy Watchlist'!L:L,MATCH($A9,'Strategy Watchlist'!$A:$A,0)),"Not Found")</f>
        <v>9.533219761499149</v>
      </c>
      <c r="M9" s="12">
        <f t="array" ref="M9">IFERROR(INDEX('Strategy Watchlist'!M:M,MATCH($A9,'Strategy Watchlist'!$A:$A,0)),"Not Found")</f>
        <v>118</v>
      </c>
      <c r="N9" s="20">
        <f t="array" ref="N9">IFERROR(INDEX('Strategy Watchlist'!N:N,MATCH($A9,'Strategy Watchlist'!$A:$A,0)),"Not Found")</f>
        <v>45772</v>
      </c>
      <c r="O9" s="14">
        <f t="array" ref="O9">IFERROR(INDEX('Strategy Watchlist'!P:P,MATCH($A9,'Strategy Watchlist'!$A:$A,0)),"Not Found")</f>
        <v>-0.99</v>
      </c>
      <c r="P9" s="21">
        <f t="array" ref="P9">IFERROR(INDEX('Strategy Watchlist'!Q:Q,MATCH($A9,'Strategy Watchlist'!$A:$A,0)),"Not Found")</f>
        <v>4.09</v>
      </c>
      <c r="Q9" s="21">
        <f t="array" ref="Q9">IFERROR(INDEX('Strategy Watchlist'!R:R,MATCH($A9,'Strategy Watchlist'!$A:$A,0)),"Not Found")</f>
        <v>0.37</v>
      </c>
      <c r="R9" s="21">
        <f t="array" ref="R9">IFERROR(INDEX('Strategy Watchlist'!S:S,MATCH($A9,'Strategy Watchlist'!$A:$A,0)),"Not Found")</f>
        <v>-3.58</v>
      </c>
      <c r="S9" s="21">
        <f t="array" ref="S9">IFERROR(INDEX('Strategy Watchlist'!T:T,MATCH($A9,'Strategy Watchlist'!$A:$A,0)),"Not Found")</f>
        <v>6.51</v>
      </c>
      <c r="T9" s="21">
        <f t="array" ref="T9">IFERROR(INDEX('Strategy Watchlist'!U:U,MATCH($A9,'Strategy Watchlist'!$A:$A,0)),"Not Found")</f>
        <v>-0.43</v>
      </c>
      <c r="U9" s="21">
        <f t="array" ref="U9">IFERROR(INDEX('Strategy Watchlist'!V:V,MATCH($A9,'Strategy Watchlist'!$A:$A,0)),"Not Found")</f>
        <v>5.78</v>
      </c>
      <c r="V9" s="21">
        <f t="array" ref="V9">IFERROR(INDEX('Strategy Watchlist'!W:W,MATCH($A9,'Strategy Watchlist'!$A:$A,0)),"Not Found")</f>
        <v>-0.64</v>
      </c>
      <c r="W9" s="21">
        <f t="array" ref="W9">IFERROR(INDEX('Strategy Watchlist'!X:X,MATCH($A9,'Strategy Watchlist'!$A:$A,0)),"Not Found")</f>
        <v>1.32</v>
      </c>
      <c r="X9" s="21">
        <f t="array" ref="X9">IFERROR(INDEX('Strategy Watchlist'!Y:Y,MATCH($A9,'Strategy Watchlist'!$A:$A,0)),"Not Found")</f>
        <v>0.33</v>
      </c>
      <c r="Y9" s="22" t="str">
        <f t="array" ref="Y9">IFERROR(INDEX('Strategy Watchlist'!Z:Z,MATCH($A9,'Strategy Watchlist'!$A:$A,0)),"Not Found")</f>
        <v>https://www.tradingview.com/chart/tJDJVri5/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</row>
    <row r="10" spans="1:119" ht="14.25" customHeight="1" x14ac:dyDescent="0.2">
      <c r="A10" s="17" t="str">
        <f t="shared" si="0"/>
        <v>[a9aeb4cc]|ETH|McGinley|90m</v>
      </c>
      <c r="B10" s="1" t="s">
        <v>28</v>
      </c>
      <c r="C10" s="18">
        <f t="shared" si="1"/>
        <v>0.8</v>
      </c>
      <c r="D10" s="1" t="s">
        <v>45</v>
      </c>
      <c r="E10" s="1" t="s">
        <v>46</v>
      </c>
      <c r="F10" s="1" t="s">
        <v>47</v>
      </c>
      <c r="G10" s="1" t="s">
        <v>48</v>
      </c>
      <c r="H10" s="2">
        <v>4000</v>
      </c>
      <c r="I10" s="2">
        <f t="shared" si="2"/>
        <v>840</v>
      </c>
      <c r="J10" s="2">
        <f t="shared" si="3"/>
        <v>840</v>
      </c>
      <c r="K10" s="1">
        <v>24</v>
      </c>
      <c r="L10" s="19">
        <f t="array" ref="L10">IFERROR(INDEX('Strategy Watchlist'!L:L,MATCH($A10,'Strategy Watchlist'!$A:$A,0)),"Not Found")</f>
        <v>7.4173228346456694</v>
      </c>
      <c r="M10" s="12">
        <f t="array" ref="M10">IFERROR(INDEX('Strategy Watchlist'!M:M,MATCH($A10,'Strategy Watchlist'!$A:$A,0)),"Not Found")</f>
        <v>72</v>
      </c>
      <c r="N10" s="20">
        <f t="array" ref="N10">IFERROR(INDEX('Strategy Watchlist'!N:N,MATCH($A10,'Strategy Watchlist'!$A:$A,0)),"Not Found")</f>
        <v>45772</v>
      </c>
      <c r="O10" s="14">
        <f t="array" ref="O10">IFERROR(INDEX('Strategy Watchlist'!P:P,MATCH($A10,'Strategy Watchlist'!$A:$A,0)),"Not Found")</f>
        <v>-0.43</v>
      </c>
      <c r="P10" s="21">
        <f t="array" ref="P10">IFERROR(INDEX('Strategy Watchlist'!Q:Q,MATCH($A10,'Strategy Watchlist'!$A:$A,0)),"Not Found")</f>
        <v>-0.39</v>
      </c>
      <c r="Q10" s="21">
        <f t="array" ref="Q10">IFERROR(INDEX('Strategy Watchlist'!R:R,MATCH($A10,'Strategy Watchlist'!$A:$A,0)),"Not Found")</f>
        <v>2.4500000000000002</v>
      </c>
      <c r="R10" s="21">
        <f t="array" ref="R10">IFERROR(INDEX('Strategy Watchlist'!S:S,MATCH($A10,'Strategy Watchlist'!$A:$A,0)),"Not Found")</f>
        <v>-0.24</v>
      </c>
      <c r="S10" s="21">
        <f t="array" ref="S10">IFERROR(INDEX('Strategy Watchlist'!T:T,MATCH($A10,'Strategy Watchlist'!$A:$A,0)),"Not Found")</f>
        <v>0.53</v>
      </c>
      <c r="T10" s="21">
        <f t="array" ref="T10">IFERROR(INDEX('Strategy Watchlist'!U:U,MATCH($A10,'Strategy Watchlist'!$A:$A,0)),"Not Found")</f>
        <v>2.38</v>
      </c>
      <c r="U10" s="21">
        <f t="array" ref="U10">IFERROR(INDEX('Strategy Watchlist'!V:V,MATCH($A10,'Strategy Watchlist'!$A:$A,0)),"Not Found")</f>
        <v>0.94</v>
      </c>
      <c r="V10" s="21">
        <f t="array" ref="V10">IFERROR(INDEX('Strategy Watchlist'!W:W,MATCH($A10,'Strategy Watchlist'!$A:$A,0)),"Not Found")</f>
        <v>0</v>
      </c>
      <c r="W10" s="21">
        <f t="array" ref="W10">IFERROR(INDEX('Strategy Watchlist'!X:X,MATCH($A10,'Strategy Watchlist'!$A:$A,0)),"Not Found")</f>
        <v>2.77</v>
      </c>
      <c r="X10" s="21">
        <f t="array" ref="X10">IFERROR(INDEX('Strategy Watchlist'!Y:Y,MATCH($A10,'Strategy Watchlist'!$A:$A,0)),"Not Found")</f>
        <v>-0.13</v>
      </c>
      <c r="Y10" s="22" t="str">
        <f t="array" ref="Y10">IFERROR(INDEX('Strategy Watchlist'!Z:Z,MATCH($A10,'Strategy Watchlist'!$A:$A,0)),"Not Found")</f>
        <v>https://www.tradingview.com/chart/dPRT8fSK/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</row>
    <row r="11" spans="1:119" ht="14.25" customHeight="1" x14ac:dyDescent="0.2">
      <c r="A11" s="17" t="str">
        <f t="shared" si="0"/>
        <v>[65caeaa0]|ROSE|WolfnBear|1H</v>
      </c>
      <c r="B11" s="1" t="s">
        <v>28</v>
      </c>
      <c r="C11" s="18">
        <f t="shared" si="1"/>
        <v>0.8</v>
      </c>
      <c r="D11" s="1" t="s">
        <v>49</v>
      </c>
      <c r="E11" s="1" t="s">
        <v>50</v>
      </c>
      <c r="F11" s="1" t="s">
        <v>51</v>
      </c>
      <c r="G11" s="1" t="s">
        <v>52</v>
      </c>
      <c r="H11" s="2">
        <v>4000</v>
      </c>
      <c r="I11" s="2">
        <f t="shared" si="2"/>
        <v>840</v>
      </c>
      <c r="J11" s="2">
        <f t="shared" si="3"/>
        <v>840</v>
      </c>
      <c r="K11" s="1">
        <v>22</v>
      </c>
      <c r="L11" s="19">
        <f t="array" ref="L11">IFERROR(INDEX('Strategy Watchlist'!L:L,MATCH($A11,'Strategy Watchlist'!$A:$A,0)),"Not Found")</f>
        <v>9.1257485029940124</v>
      </c>
      <c r="M11" s="12">
        <f t="array" ref="M11">IFERROR(INDEX('Strategy Watchlist'!M:M,MATCH($A11,'Strategy Watchlist'!$A:$A,0)),"Not Found")</f>
        <v>172</v>
      </c>
      <c r="N11" s="20">
        <f t="array" ref="N11">IFERROR(INDEX('Strategy Watchlist'!N:N,MATCH($A11,'Strategy Watchlist'!$A:$A,0)),"Not Found")</f>
        <v>45682</v>
      </c>
      <c r="O11" s="14">
        <f t="array" ref="O11">IFERROR(INDEX('Strategy Watchlist'!P:P,MATCH($A11,'Strategy Watchlist'!$A:$A,0)),"Not Found")</f>
        <v>1.04</v>
      </c>
      <c r="P11" s="21">
        <f t="array" ref="P11">IFERROR(INDEX('Strategy Watchlist'!Q:Q,MATCH($A11,'Strategy Watchlist'!$A:$A,0)),"Not Found")</f>
        <v>2.39</v>
      </c>
      <c r="Q11" s="21">
        <f t="array" ref="Q11">IFERROR(INDEX('Strategy Watchlist'!R:R,MATCH($A11,'Strategy Watchlist'!$A:$A,0)),"Not Found")</f>
        <v>0.38</v>
      </c>
      <c r="R11" s="21">
        <f t="array" ref="R11">IFERROR(INDEX('Strategy Watchlist'!S:S,MATCH($A11,'Strategy Watchlist'!$A:$A,0)),"Not Found")</f>
        <v>1.76</v>
      </c>
      <c r="S11" s="21">
        <f t="array" ref="S11">IFERROR(INDEX('Strategy Watchlist'!T:T,MATCH($A11,'Strategy Watchlist'!$A:$A,0)),"Not Found")</f>
        <v>0.72</v>
      </c>
      <c r="T11" s="21">
        <f t="array" ref="T11">IFERROR(INDEX('Strategy Watchlist'!U:U,MATCH($A11,'Strategy Watchlist'!$A:$A,0)),"Not Found")</f>
        <v>-0.84</v>
      </c>
      <c r="U11" s="21">
        <f t="array" ref="U11">IFERROR(INDEX('Strategy Watchlist'!V:V,MATCH($A11,'Strategy Watchlist'!$A:$A,0)),"Not Found")</f>
        <v>-0.24</v>
      </c>
      <c r="V11" s="21">
        <f t="array" ref="V11">IFERROR(INDEX('Strategy Watchlist'!W:W,MATCH($A11,'Strategy Watchlist'!$A:$A,0)),"Not Found")</f>
        <v>-1.19</v>
      </c>
      <c r="W11" s="21">
        <f t="array" ref="W11">IFERROR(INDEX('Strategy Watchlist'!X:X,MATCH($A11,'Strategy Watchlist'!$A:$A,0)),"Not Found")</f>
        <v>0.18</v>
      </c>
      <c r="X11" s="21">
        <f t="array" ref="X11">IFERROR(INDEX('Strategy Watchlist'!Y:Y,MATCH($A11,'Strategy Watchlist'!$A:$A,0)),"Not Found")</f>
        <v>2.34</v>
      </c>
      <c r="Y11" s="22" t="str">
        <f t="array" ref="Y11">IFERROR(INDEX('Strategy Watchlist'!Z:Z,MATCH($A11,'Strategy Watchlist'!$A:$A,0)),"Not Found")</f>
        <v>https://www.tradingview.com/chart/p2Bvj1LX/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</row>
    <row r="12" spans="1:119" ht="14.25" customHeight="1" x14ac:dyDescent="0.2">
      <c r="A12" s="17" t="str">
        <f t="shared" si="0"/>
        <v>|APE|precisionTrend|30m</v>
      </c>
      <c r="B12" s="1" t="s">
        <v>28</v>
      </c>
      <c r="C12" s="18">
        <f t="shared" si="1"/>
        <v>0.6</v>
      </c>
      <c r="D12" s="1"/>
      <c r="E12" s="1" t="s">
        <v>53</v>
      </c>
      <c r="F12" s="1" t="s">
        <v>54</v>
      </c>
      <c r="G12" s="1" t="s">
        <v>38</v>
      </c>
      <c r="H12" s="2">
        <v>3000</v>
      </c>
      <c r="I12" s="2">
        <f t="shared" si="2"/>
        <v>630</v>
      </c>
      <c r="J12" s="2">
        <f t="shared" si="3"/>
        <v>630</v>
      </c>
      <c r="K12" s="1">
        <v>23</v>
      </c>
      <c r="L12" s="19">
        <f t="array" ref="L12">IFERROR(INDEX('Strategy Watchlist'!L:L,MATCH($A12,'Strategy Watchlist'!$A:$A,0)),"Not Found")</f>
        <v>4.1660424469413231</v>
      </c>
      <c r="M12" s="12">
        <f t="array" ref="M12">IFERROR(INDEX('Strategy Watchlist'!M:M,MATCH($A12,'Strategy Watchlist'!$A:$A,0)),"Not Found")</f>
        <v>278</v>
      </c>
      <c r="N12" s="20">
        <f t="array" ref="N12">IFERROR(INDEX('Strategy Watchlist'!N:N,MATCH($A12,'Strategy Watchlist'!$A:$A,0)),"Not Found")</f>
        <v>45778</v>
      </c>
      <c r="O12" s="14">
        <f t="array" ref="O12">IFERROR(INDEX('Strategy Watchlist'!P:P,MATCH($A12,'Strategy Watchlist'!$A:$A,0)),"Not Found")</f>
        <v>-0.99</v>
      </c>
      <c r="P12" s="21">
        <f t="array" ref="P12">IFERROR(INDEX('Strategy Watchlist'!Q:Q,MATCH($A12,'Strategy Watchlist'!$A:$A,0)),"Not Found")</f>
        <v>3</v>
      </c>
      <c r="Q12" s="21">
        <f t="array" ref="Q12">IFERROR(INDEX('Strategy Watchlist'!R:R,MATCH($A12,'Strategy Watchlist'!$A:$A,0)),"Not Found")</f>
        <v>1.66</v>
      </c>
      <c r="R12" s="21">
        <f t="array" ref="R12">IFERROR(INDEX('Strategy Watchlist'!S:S,MATCH($A12,'Strategy Watchlist'!$A:$A,0)),"Not Found")</f>
        <v>-2.79</v>
      </c>
      <c r="S12" s="21">
        <f t="array" ref="S12">IFERROR(INDEX('Strategy Watchlist'!T:T,MATCH($A12,'Strategy Watchlist'!$A:$A,0)),"Not Found")</f>
        <v>0.63</v>
      </c>
      <c r="T12" s="21">
        <f t="array" ref="T12">IFERROR(INDEX('Strategy Watchlist'!U:U,MATCH($A12,'Strategy Watchlist'!$A:$A,0)),"Not Found")</f>
        <v>6.17</v>
      </c>
      <c r="U12" s="21">
        <f t="array" ref="U12">IFERROR(INDEX('Strategy Watchlist'!V:V,MATCH($A12,'Strategy Watchlist'!$A:$A,0)),"Not Found")</f>
        <v>3.56</v>
      </c>
      <c r="V12" s="21">
        <f t="array" ref="V12">IFERROR(INDEX('Strategy Watchlist'!W:W,MATCH($A12,'Strategy Watchlist'!$A:$A,0)),"Not Found")</f>
        <v>0.87</v>
      </c>
      <c r="W12" s="21">
        <f t="array" ref="W12">IFERROR(INDEX('Strategy Watchlist'!X:X,MATCH($A12,'Strategy Watchlist'!$A:$A,0)),"Not Found")</f>
        <v>1.73</v>
      </c>
      <c r="X12" s="21">
        <f t="array" ref="X12">IFERROR(INDEX('Strategy Watchlist'!Y:Y,MATCH($A12,'Strategy Watchlist'!$A:$A,0)),"Not Found")</f>
        <v>3.54</v>
      </c>
      <c r="Y12" s="22" t="str">
        <f t="array" ref="Y12">IFERROR(INDEX('Strategy Watchlist'!Z:Z,MATCH($A12,'Strategy Watchlist'!$A:$A,0)),"Not Found")</f>
        <v>https://www.tradingview.com/chart/oDhEAePi/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</row>
    <row r="13" spans="1:119" ht="14.25" customHeight="1" x14ac:dyDescent="0.2">
      <c r="A13" s="17" t="str">
        <f t="shared" si="0"/>
        <v>[fa32aee4]|LINK|McGinley|45m</v>
      </c>
      <c r="B13" s="1" t="s">
        <v>28</v>
      </c>
      <c r="C13" s="18">
        <f t="shared" si="1"/>
        <v>0.4</v>
      </c>
      <c r="D13" s="17" t="s">
        <v>55</v>
      </c>
      <c r="E13" s="17" t="s">
        <v>25</v>
      </c>
      <c r="F13" s="17" t="s">
        <v>47</v>
      </c>
      <c r="G13" s="23" t="s">
        <v>32</v>
      </c>
      <c r="H13" s="2">
        <v>2000</v>
      </c>
      <c r="I13" s="24">
        <f t="shared" si="2"/>
        <v>420</v>
      </c>
      <c r="J13" s="2">
        <v>520</v>
      </c>
      <c r="K13" s="1">
        <v>30</v>
      </c>
      <c r="L13" s="19">
        <f t="array" ref="L13">IFERROR(INDEX('Strategy Watchlist'!L:L,MATCH($A13,'Strategy Watchlist'!$A:$A,0)),"Not Found")</f>
        <v>16.683760683760685</v>
      </c>
      <c r="M13" s="12">
        <f t="array" ref="M13">IFERROR(INDEX('Strategy Watchlist'!M:M,MATCH($A13,'Strategy Watchlist'!$A:$A,0)),"Not Found")</f>
        <v>176</v>
      </c>
      <c r="N13" s="20">
        <f t="array" ref="N13">IFERROR(INDEX('Strategy Watchlist'!N:N,MATCH($A13,'Strategy Watchlist'!$A:$A,0)),"Not Found")</f>
        <v>45833</v>
      </c>
      <c r="O13" s="14">
        <f t="array" ref="O13">IFERROR(INDEX('Strategy Watchlist'!P:P,MATCH($A13,'Strategy Watchlist'!$A:$A,0)),"Not Found")</f>
        <v>-2.02</v>
      </c>
      <c r="P13" s="21">
        <f t="array" ref="P13">IFERROR(INDEX('Strategy Watchlist'!Q:Q,MATCH($A13,'Strategy Watchlist'!$A:$A,0)),"Not Found")</f>
        <v>0.36</v>
      </c>
      <c r="Q13" s="21">
        <f t="array" ref="Q13">IFERROR(INDEX('Strategy Watchlist'!R:R,MATCH($A13,'Strategy Watchlist'!$A:$A,0)),"Not Found")</f>
        <v>7</v>
      </c>
      <c r="R13" s="21">
        <f t="array" ref="R13">IFERROR(INDEX('Strategy Watchlist'!S:S,MATCH($A13,'Strategy Watchlist'!$A:$A,0)),"Not Found")</f>
        <v>3.76</v>
      </c>
      <c r="S13" s="21">
        <f t="array" ref="S13">IFERROR(INDEX('Strategy Watchlist'!T:T,MATCH($A13,'Strategy Watchlist'!$A:$A,0)),"Not Found")</f>
        <v>2.2200000000000002</v>
      </c>
      <c r="T13" s="21">
        <f t="array" ref="T13">IFERROR(INDEX('Strategy Watchlist'!U:U,MATCH($A13,'Strategy Watchlist'!$A:$A,0)),"Not Found")</f>
        <v>6.68</v>
      </c>
      <c r="U13" s="21">
        <f t="array" ref="U13">IFERROR(INDEX('Strategy Watchlist'!V:V,MATCH($A13,'Strategy Watchlist'!$A:$A,0)),"Not Found")</f>
        <v>-0.14000000000000001</v>
      </c>
      <c r="V13" s="21">
        <f t="array" ref="V13">IFERROR(INDEX('Strategy Watchlist'!W:W,MATCH($A13,'Strategy Watchlist'!$A:$A,0)),"Not Found")</f>
        <v>5.22</v>
      </c>
      <c r="W13" s="21">
        <f t="array" ref="W13">IFERROR(INDEX('Strategy Watchlist'!X:X,MATCH($A13,'Strategy Watchlist'!$A:$A,0)),"Not Found")</f>
        <v>0</v>
      </c>
      <c r="X13" s="21">
        <f t="array" ref="X13">IFERROR(INDEX('Strategy Watchlist'!Y:Y,MATCH($A13,'Strategy Watchlist'!$A:$A,0)),"Not Found")</f>
        <v>0.13</v>
      </c>
      <c r="Y13" s="22" t="str">
        <f t="array" ref="Y13">IFERROR(INDEX('Strategy Watchlist'!Z:Z,MATCH($A13,'Strategy Watchlist'!$A:$A,0)),"Not Found")</f>
        <v>https://www.tradingview.com/chart/CTC73Olh/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</row>
    <row r="14" spans="1:119" ht="14.25" customHeight="1" x14ac:dyDescent="0.2">
      <c r="A14" s="17" t="str">
        <f t="shared" si="0"/>
        <v>[3111f1fd]|NEAR|Stiff Surge|1H</v>
      </c>
      <c r="B14" s="1" t="s">
        <v>28</v>
      </c>
      <c r="C14" s="18">
        <f t="shared" si="1"/>
        <v>0.4</v>
      </c>
      <c r="D14" s="1" t="s">
        <v>56</v>
      </c>
      <c r="E14" s="1" t="s">
        <v>57</v>
      </c>
      <c r="F14" s="1" t="s">
        <v>58</v>
      </c>
      <c r="G14" s="1" t="s">
        <v>52</v>
      </c>
      <c r="H14" s="2">
        <v>2000</v>
      </c>
      <c r="I14" s="2">
        <v>420</v>
      </c>
      <c r="J14" s="2">
        <f t="shared" ref="J14:J15" si="4">I14</f>
        <v>420</v>
      </c>
      <c r="K14" s="1">
        <v>22</v>
      </c>
      <c r="L14" s="19">
        <f t="array" ref="L14">IFERROR(INDEX('Strategy Watchlist'!L:L,MATCH($A14,'Strategy Watchlist'!$A:$A,0)),"Not Found")</f>
        <v>3.1660516605166054</v>
      </c>
      <c r="M14" s="12">
        <f t="array" ref="M14">IFERROR(INDEX('Strategy Watchlist'!M:M,MATCH($A14,'Strategy Watchlist'!$A:$A,0)),"Not Found")</f>
        <v>237</v>
      </c>
      <c r="N14" s="20">
        <f t="array" ref="N14">IFERROR(INDEX('Strategy Watchlist'!N:N,MATCH($A14,'Strategy Watchlist'!$A:$A,0)),"Not Found")</f>
        <v>45717</v>
      </c>
      <c r="O14" s="14">
        <f t="array" ref="O14">IFERROR(INDEX('Strategy Watchlist'!P:P,MATCH($A14,'Strategy Watchlist'!$A:$A,0)),"Not Found")</f>
        <v>-1.39</v>
      </c>
      <c r="P14" s="21">
        <f t="array" ref="P14">IFERROR(INDEX('Strategy Watchlist'!Q:Q,MATCH($A14,'Strategy Watchlist'!$A:$A,0)),"Not Found")</f>
        <v>0.56000000000000005</v>
      </c>
      <c r="Q14" s="21">
        <f t="array" ref="Q14">IFERROR(INDEX('Strategy Watchlist'!R:R,MATCH($A14,'Strategy Watchlist'!$A:$A,0)),"Not Found")</f>
        <v>-0.43</v>
      </c>
      <c r="R14" s="21">
        <f t="array" ref="R14">IFERROR(INDEX('Strategy Watchlist'!S:S,MATCH($A14,'Strategy Watchlist'!$A:$A,0)),"Not Found")</f>
        <v>-0.45</v>
      </c>
      <c r="S14" s="21">
        <f t="array" ref="S14">IFERROR(INDEX('Strategy Watchlist'!T:T,MATCH($A14,'Strategy Watchlist'!$A:$A,0)),"Not Found")</f>
        <v>4.99</v>
      </c>
      <c r="T14" s="21">
        <f t="array" ref="T14">IFERROR(INDEX('Strategy Watchlist'!U:U,MATCH($A14,'Strategy Watchlist'!$A:$A,0)),"Not Found")</f>
        <v>4.37</v>
      </c>
      <c r="U14" s="21">
        <f t="array" ref="U14">IFERROR(INDEX('Strategy Watchlist'!V:V,MATCH($A14,'Strategy Watchlist'!$A:$A,0)),"Not Found")</f>
        <v>-1.47</v>
      </c>
      <c r="V14" s="21">
        <f t="array" ref="V14">IFERROR(INDEX('Strategy Watchlist'!W:W,MATCH($A14,'Strategy Watchlist'!$A:$A,0)),"Not Found")</f>
        <v>1.85</v>
      </c>
      <c r="W14" s="21">
        <f t="array" ref="W14">IFERROR(INDEX('Strategy Watchlist'!X:X,MATCH($A14,'Strategy Watchlist'!$A:$A,0)),"Not Found")</f>
        <v>-0.11</v>
      </c>
      <c r="X14" s="21">
        <f t="array" ref="X14">IFERROR(INDEX('Strategy Watchlist'!Y:Y,MATCH($A14,'Strategy Watchlist'!$A:$A,0)),"Not Found")</f>
        <v>1.53</v>
      </c>
      <c r="Y14" s="22" t="str">
        <f t="array" ref="Y14">IFERROR(INDEX('Strategy Watchlist'!Z:Z,MATCH($A14,'Strategy Watchlist'!$A:$A,0)),"Not Found")</f>
        <v>https://www.tradingview.com/chart/Q9MeKvVC/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ht="14.25" customHeight="1" x14ac:dyDescent="0.2">
      <c r="A15" s="25" t="str">
        <f t="shared" si="0"/>
        <v>[f2b236fa]|OP|glitchTrend|1H</v>
      </c>
      <c r="B15" s="26" t="s">
        <v>28</v>
      </c>
      <c r="C15" s="27">
        <f t="shared" si="1"/>
        <v>0.4</v>
      </c>
      <c r="D15" s="28" t="s">
        <v>59</v>
      </c>
      <c r="E15" s="26" t="s">
        <v>60</v>
      </c>
      <c r="F15" s="26" t="s">
        <v>61</v>
      </c>
      <c r="G15" s="26" t="s">
        <v>52</v>
      </c>
      <c r="H15" s="29">
        <v>2000</v>
      </c>
      <c r="I15" s="30">
        <f>H15*0.21</f>
        <v>420</v>
      </c>
      <c r="J15" s="30">
        <f t="shared" si="4"/>
        <v>420</v>
      </c>
      <c r="K15" s="29">
        <v>25</v>
      </c>
      <c r="L15" s="31">
        <f>57.27/6.84</f>
        <v>8.3728070175438596</v>
      </c>
      <c r="M15" s="32">
        <v>409</v>
      </c>
      <c r="N15" s="33">
        <v>45863</v>
      </c>
      <c r="O15" s="28">
        <f t="array" ref="O15">IFERROR(INDEX('Strategy Watchlist'!P:P,MATCH($A15,'Strategy Watchlist'!$A:$A,0)),"Not Found")</f>
        <v>2.64</v>
      </c>
      <c r="P15" s="28">
        <f t="array" ref="P15">IFERROR(INDEX('Strategy Watchlist'!Q:Q,MATCH($A15,'Strategy Watchlist'!$A:$A,0)),"Not Found")</f>
        <v>0.13</v>
      </c>
      <c r="Q15" s="28">
        <f t="array" ref="Q15">IFERROR(INDEX('Strategy Watchlist'!R:R,MATCH($A15,'Strategy Watchlist'!$A:$A,0)),"Not Found")</f>
        <v>1.69</v>
      </c>
      <c r="R15" s="28">
        <f t="array" ref="R15">IFERROR(INDEX('Strategy Watchlist'!S:S,MATCH($A15,'Strategy Watchlist'!$A:$A,0)),"Not Found")</f>
        <v>6.07</v>
      </c>
      <c r="S15" s="28">
        <f t="array" ref="S15">IFERROR(INDEX('Strategy Watchlist'!T:T,MATCH($A15,'Strategy Watchlist'!$A:$A,0)),"Not Found")</f>
        <v>-3.19</v>
      </c>
      <c r="T15" s="28">
        <f t="array" ref="T15">IFERROR(INDEX('Strategy Watchlist'!U:U,MATCH($A15,'Strategy Watchlist'!$A:$A,0)),"Not Found")</f>
        <v>5.27</v>
      </c>
      <c r="U15" s="28">
        <f t="array" ref="U15">IFERROR(INDEX('Strategy Watchlist'!V:V,MATCH($A15,'Strategy Watchlist'!$A:$A,0)),"Not Found")</f>
        <v>3.43</v>
      </c>
      <c r="V15" s="28">
        <f t="array" ref="V15">IFERROR(INDEX('Strategy Watchlist'!W:W,MATCH($A15,'Strategy Watchlist'!$A:$A,0)),"Not Found")</f>
        <v>2.02</v>
      </c>
      <c r="W15" s="28">
        <f t="array" ref="W15">IFERROR(INDEX('Strategy Watchlist'!X:X,MATCH($A15,'Strategy Watchlist'!$A:$A,0)),"Not Found")</f>
        <v>0.08</v>
      </c>
      <c r="X15" s="28">
        <f t="array" ref="X15">IFERROR(INDEX('Strategy Watchlist'!Y:Y,MATCH($A15,'Strategy Watchlist'!$A:$A,0)),"Not Found")</f>
        <v>7.85</v>
      </c>
      <c r="Y15" s="34" t="str">
        <f t="array" ref="Y15">IFERROR(INDEX('Strategy Watchlist'!Z:Z,MATCH($A15,'Strategy Watchlist'!$A:$A,0)),"Not Found")</f>
        <v>https://www.tradingview.com/chart/IMFhBZl2/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5" t="str">
        <f>AX15&amp;"|"&amp;AY15&amp;"|"&amp;AZ15&amp;"|"&amp;BA15</f>
        <v>[f2b236fa]|OP|glitchTrend|1H</v>
      </c>
      <c r="AV15" s="26" t="s">
        <v>62</v>
      </c>
      <c r="AW15" s="29"/>
      <c r="AX15" s="28" t="s">
        <v>59</v>
      </c>
      <c r="AY15" s="26" t="s">
        <v>60</v>
      </c>
      <c r="AZ15" s="26" t="s">
        <v>61</v>
      </c>
      <c r="BA15" s="26" t="s">
        <v>52</v>
      </c>
      <c r="BB15" s="31"/>
      <c r="BC15" s="31"/>
      <c r="BD15" s="31"/>
      <c r="BE15" s="31"/>
      <c r="BF15" s="31">
        <f>57.27/6.84</f>
        <v>8.3728070175438596</v>
      </c>
      <c r="BG15" s="32">
        <v>409</v>
      </c>
      <c r="BH15" s="33">
        <v>45863</v>
      </c>
      <c r="BI15" s="28">
        <v>0.5</v>
      </c>
      <c r="BJ15" s="28">
        <v>0.13</v>
      </c>
      <c r="BK15" s="28">
        <v>1.69</v>
      </c>
      <c r="BL15" s="28">
        <v>6.07</v>
      </c>
      <c r="BM15" s="28">
        <v>-3.19</v>
      </c>
      <c r="BN15" s="28">
        <v>5.27</v>
      </c>
      <c r="BO15" s="28">
        <v>3.43</v>
      </c>
      <c r="BP15" s="28">
        <v>2.02</v>
      </c>
      <c r="BQ15" s="28">
        <v>0.08</v>
      </c>
      <c r="BR15" s="28">
        <v>7.85</v>
      </c>
      <c r="BS15" s="35" t="s">
        <v>63</v>
      </c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</row>
    <row r="18" spans="1:119" ht="14.25" customHeight="1" x14ac:dyDescent="0.2">
      <c r="A18" s="36" t="str">
        <f t="shared" ref="A18:A22" si="5">D18&amp;"|"&amp;E18&amp;"|"&amp;F18&amp;"|"&amp;G18</f>
        <v>5x|4400||</v>
      </c>
      <c r="B18" s="37" t="s">
        <v>64</v>
      </c>
      <c r="C18" s="37"/>
      <c r="D18" s="37" t="s">
        <v>65</v>
      </c>
      <c r="E18" s="37">
        <v>4400</v>
      </c>
      <c r="F18" s="37"/>
      <c r="G18" s="37"/>
      <c r="H18" s="37"/>
      <c r="I18" s="38"/>
      <c r="J18" s="38"/>
      <c r="K18" s="37"/>
      <c r="L18" s="19"/>
      <c r="M18" s="12"/>
      <c r="N18" s="20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</row>
    <row r="19" spans="1:119" ht="14.25" customHeight="1" x14ac:dyDescent="0.2">
      <c r="A19" s="39" t="str">
        <f t="shared" si="5"/>
        <v>[0436a8e8]|SOL|Trendhoo|90m</v>
      </c>
      <c r="B19" s="17" t="s">
        <v>28</v>
      </c>
      <c r="C19" s="18">
        <f t="shared" ref="C19:C22" si="6">H19/$C$4</f>
        <v>0.8</v>
      </c>
      <c r="D19" s="17" t="s">
        <v>66</v>
      </c>
      <c r="E19" s="17" t="s">
        <v>43</v>
      </c>
      <c r="F19" s="17" t="s">
        <v>67</v>
      </c>
      <c r="G19" s="17" t="s">
        <v>48</v>
      </c>
      <c r="H19" s="2">
        <v>4000</v>
      </c>
      <c r="I19" s="40">
        <f t="shared" ref="I19:I22" si="7">H19*0.21</f>
        <v>840</v>
      </c>
      <c r="J19" s="2">
        <f t="shared" ref="J19:J20" si="8">I19</f>
        <v>840</v>
      </c>
      <c r="K19" s="2">
        <v>22</v>
      </c>
      <c r="L19" s="19">
        <f t="array" ref="L19">IFERROR(INDEX('Strategy Watchlist'!L:L,MATCH($A19,'Strategy Watchlist'!$A:$A,0)),"Not Found")</f>
        <v>5.0460048426150124</v>
      </c>
      <c r="M19" s="12">
        <f t="array" ref="M19">IFERROR(INDEX('Strategy Watchlist'!M:M,MATCH($A19,'Strategy Watchlist'!$A:$A,0)),"Not Found")</f>
        <v>327</v>
      </c>
      <c r="N19" s="20">
        <f t="array" ref="N19">IFERROR(INDEX('Strategy Watchlist'!N:N,MATCH($A19,'Strategy Watchlist'!$A:$A,0)),"Not Found")</f>
        <v>45863</v>
      </c>
      <c r="O19" s="21">
        <f t="array" ref="O19">IFERROR(INDEX('Strategy Watchlist'!P:P,MATCH($A19,'Strategy Watchlist'!$A:$A,0)),"Not Found")</f>
        <v>-0.57999999999999996</v>
      </c>
      <c r="P19" s="21">
        <f t="array" ref="P19">IFERROR(INDEX('Strategy Watchlist'!Q:Q,MATCH($A19,'Strategy Watchlist'!$A:$A,0)),"Not Found")</f>
        <v>2.2999999999999998</v>
      </c>
      <c r="Q19" s="21">
        <f t="array" ref="Q19">IFERROR(INDEX('Strategy Watchlist'!R:R,MATCH($A19,'Strategy Watchlist'!$A:$A,0)),"Not Found")</f>
        <v>0.88</v>
      </c>
      <c r="R19" s="21">
        <f t="array" ref="R19">IFERROR(INDEX('Strategy Watchlist'!S:S,MATCH($A19,'Strategy Watchlist'!$A:$A,0)),"Not Found")</f>
        <v>0.88</v>
      </c>
      <c r="S19" s="21">
        <f t="array" ref="S19">IFERROR(INDEX('Strategy Watchlist'!T:T,MATCH($A19,'Strategy Watchlist'!$A:$A,0)),"Not Found")</f>
        <v>-0.19</v>
      </c>
      <c r="T19" s="21">
        <f t="array" ref="T19">IFERROR(INDEX('Strategy Watchlist'!U:U,MATCH($A19,'Strategy Watchlist'!$A:$A,0)),"Not Found")</f>
        <v>-0.1</v>
      </c>
      <c r="U19" s="21">
        <f t="array" ref="U19">IFERROR(INDEX('Strategy Watchlist'!V:V,MATCH($A19,'Strategy Watchlist'!$A:$A,0)),"Not Found")</f>
        <v>-0.52</v>
      </c>
      <c r="V19" s="21">
        <f t="array" ref="V19">IFERROR(INDEX('Strategy Watchlist'!W:W,MATCH($A19,'Strategy Watchlist'!$A:$A,0)),"Not Found")</f>
        <v>1.1100000000000001</v>
      </c>
      <c r="W19" s="21">
        <f t="array" ref="W19">IFERROR(INDEX('Strategy Watchlist'!X:X,MATCH($A19,'Strategy Watchlist'!$A:$A,0)),"Not Found")</f>
        <v>2.02</v>
      </c>
      <c r="X19" s="21">
        <f t="array" ref="X19">IFERROR(INDEX('Strategy Watchlist'!Y:Y,MATCH($A19,'Strategy Watchlist'!$A:$A,0)),"Not Found")</f>
        <v>2.73</v>
      </c>
      <c r="Y19" s="41" t="s">
        <v>68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42"/>
      <c r="AN19" s="42"/>
      <c r="AO19" s="42"/>
      <c r="AP19" s="42"/>
      <c r="AQ19" s="42"/>
      <c r="AR19" s="42"/>
      <c r="AS19" s="42"/>
      <c r="AT19" s="42"/>
      <c r="AU19" s="39" t="str">
        <f t="shared" ref="AU19:AU21" si="9">AX19&amp;"|"&amp;AY19&amp;"|"&amp;AZ19&amp;"|"&amp;BA19</f>
        <v>[0436a8e8]|SOL|Trendhoo|90m</v>
      </c>
      <c r="AV19" s="17" t="s">
        <v>28</v>
      </c>
      <c r="AW19" s="17">
        <v>0.2</v>
      </c>
      <c r="AX19" s="17" t="s">
        <v>66</v>
      </c>
      <c r="AY19" s="17" t="s">
        <v>43</v>
      </c>
      <c r="AZ19" s="17" t="s">
        <v>67</v>
      </c>
      <c r="BA19" s="17" t="s">
        <v>48</v>
      </c>
      <c r="BB19" s="43"/>
      <c r="BC19" s="43"/>
      <c r="BD19" s="43"/>
      <c r="BE19" s="43"/>
      <c r="BF19" s="43">
        <f>20.84/4.13</f>
        <v>5.0460048426150124</v>
      </c>
      <c r="BG19" s="44">
        <v>327</v>
      </c>
      <c r="BH19" s="45">
        <v>45863</v>
      </c>
      <c r="BI19" s="21">
        <v>0.72</v>
      </c>
      <c r="BJ19" s="21">
        <v>1.94</v>
      </c>
      <c r="BK19" s="21">
        <v>0.74</v>
      </c>
      <c r="BL19" s="21">
        <v>0.74</v>
      </c>
      <c r="BM19" s="21">
        <v>-0.19</v>
      </c>
      <c r="BN19" s="21">
        <v>-0.1</v>
      </c>
      <c r="BO19" s="21">
        <v>-0.52</v>
      </c>
      <c r="BP19" s="21">
        <v>1.1100000000000001</v>
      </c>
      <c r="BQ19" s="21">
        <v>2.02</v>
      </c>
      <c r="BR19" s="21">
        <v>2.73</v>
      </c>
      <c r="BS19" s="41" t="s">
        <v>68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42"/>
      <c r="CH19" s="42"/>
      <c r="CI19" s="42"/>
      <c r="CJ19" s="42"/>
      <c r="CK19" s="42"/>
      <c r="CL19" s="42"/>
      <c r="CM19" s="42"/>
      <c r="CN19" s="42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</row>
    <row r="20" spans="1:119" ht="14.25" customHeight="1" x14ac:dyDescent="0.2">
      <c r="A20" s="39" t="str">
        <f t="shared" si="5"/>
        <v>[1adc9501]|ETH|DeadZone|1H</v>
      </c>
      <c r="B20" s="42" t="s">
        <v>28</v>
      </c>
      <c r="C20" s="18">
        <f t="shared" si="6"/>
        <v>0.6</v>
      </c>
      <c r="D20" s="42" t="s">
        <v>69</v>
      </c>
      <c r="E20" s="42" t="s">
        <v>46</v>
      </c>
      <c r="F20" s="42" t="s">
        <v>70</v>
      </c>
      <c r="G20" s="42" t="s">
        <v>52</v>
      </c>
      <c r="H20" s="2">
        <v>3000</v>
      </c>
      <c r="I20" s="40">
        <f t="shared" si="7"/>
        <v>630</v>
      </c>
      <c r="J20" s="2">
        <f t="shared" si="8"/>
        <v>630</v>
      </c>
      <c r="K20" s="2">
        <v>22</v>
      </c>
      <c r="L20" s="19">
        <f t="array" ref="L20">IFERROR(INDEX('Strategy Watchlist'!L:L,MATCH($A20,'Strategy Watchlist'!$A:$A,0)),"Not Found")</f>
        <v>8.4111675126903549</v>
      </c>
      <c r="M20" s="12">
        <f t="array" ref="M20">IFERROR(INDEX('Strategy Watchlist'!M:M,MATCH($A20,'Strategy Watchlist'!$A:$A,0)),"Not Found")</f>
        <v>134</v>
      </c>
      <c r="N20" s="20">
        <f t="array" ref="N20">IFERROR(INDEX('Strategy Watchlist'!N:N,MATCH($A20,'Strategy Watchlist'!$A:$A,0)),"Not Found")</f>
        <v>45802</v>
      </c>
      <c r="O20" s="21">
        <f t="array" ref="O20">IFERROR(INDEX('Strategy Watchlist'!P:P,MATCH($A20,'Strategy Watchlist'!$A:$A,0)),"Not Found")</f>
        <v>0.51</v>
      </c>
      <c r="P20" s="21">
        <f t="array" ref="P20">IFERROR(INDEX('Strategy Watchlist'!Q:Q,MATCH($A20,'Strategy Watchlist'!$A:$A,0)),"Not Found")</f>
        <v>0.63</v>
      </c>
      <c r="Q20" s="21">
        <f t="array" ref="Q20">IFERROR(INDEX('Strategy Watchlist'!R:R,MATCH($A20,'Strategy Watchlist'!$A:$A,0)),"Not Found")</f>
        <v>4.53</v>
      </c>
      <c r="R20" s="21">
        <f t="array" ref="R20">IFERROR(INDEX('Strategy Watchlist'!S:S,MATCH($A20,'Strategy Watchlist'!$A:$A,0)),"Not Found")</f>
        <v>3.6</v>
      </c>
      <c r="S20" s="21">
        <f t="array" ref="S20">IFERROR(INDEX('Strategy Watchlist'!T:T,MATCH($A20,'Strategy Watchlist'!$A:$A,0)),"Not Found")</f>
        <v>1.0900000000000001</v>
      </c>
      <c r="T20" s="21">
        <f t="array" ref="T20">IFERROR(INDEX('Strategy Watchlist'!U:U,MATCH($A20,'Strategy Watchlist'!$A:$A,0)),"Not Found")</f>
        <v>2.31</v>
      </c>
      <c r="U20" s="21">
        <f t="array" ref="U20">IFERROR(INDEX('Strategy Watchlist'!V:V,MATCH($A20,'Strategy Watchlist'!$A:$A,0)),"Not Found")</f>
        <v>0.49</v>
      </c>
      <c r="V20" s="21">
        <f t="array" ref="V20">IFERROR(INDEX('Strategy Watchlist'!W:W,MATCH($A20,'Strategy Watchlist'!$A:$A,0)),"Not Found")</f>
        <v>-1.63</v>
      </c>
      <c r="W20" s="21">
        <f t="array" ref="W20">IFERROR(INDEX('Strategy Watchlist'!X:X,MATCH($A20,'Strategy Watchlist'!$A:$A,0)),"Not Found")</f>
        <v>0.27</v>
      </c>
      <c r="X20" s="21">
        <f t="array" ref="X20">IFERROR(INDEX('Strategy Watchlist'!Y:Y,MATCH($A20,'Strategy Watchlist'!$A:$A,0)),"Not Found")</f>
        <v>2.35</v>
      </c>
      <c r="Y20" s="41" t="s">
        <v>68</v>
      </c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39" t="str">
        <f t="shared" si="9"/>
        <v>[1adc9501]|ETH|DeadZone|1H</v>
      </c>
      <c r="AV20" s="42" t="s">
        <v>62</v>
      </c>
      <c r="AW20" s="17"/>
      <c r="AX20" s="42" t="s">
        <v>69</v>
      </c>
      <c r="AY20" s="42" t="s">
        <v>46</v>
      </c>
      <c r="AZ20" s="42" t="s">
        <v>70</v>
      </c>
      <c r="BA20" s="42" t="s">
        <v>52</v>
      </c>
      <c r="BB20" s="19"/>
      <c r="BC20" s="19"/>
      <c r="BD20" s="19"/>
      <c r="BE20" s="19"/>
      <c r="BF20" s="19">
        <f>33.14/3.94</f>
        <v>8.4111675126903549</v>
      </c>
      <c r="BG20" s="46">
        <v>134</v>
      </c>
      <c r="BH20" s="45">
        <v>45802</v>
      </c>
      <c r="BI20" s="21">
        <v>0.9</v>
      </c>
      <c r="BJ20" s="21">
        <v>0.63</v>
      </c>
      <c r="BK20" s="21">
        <v>4.53</v>
      </c>
      <c r="BL20" s="21">
        <v>3.6</v>
      </c>
      <c r="BM20" s="21">
        <v>1.0900000000000001</v>
      </c>
      <c r="BN20" s="21">
        <v>2.31</v>
      </c>
      <c r="BO20" s="21">
        <v>0.49</v>
      </c>
      <c r="BP20" s="21">
        <v>-1.63</v>
      </c>
      <c r="BQ20" s="21">
        <v>0.27</v>
      </c>
      <c r="BR20" s="21">
        <v>2.35</v>
      </c>
      <c r="BS20" s="47" t="s">
        <v>71</v>
      </c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</row>
    <row r="21" spans="1:119" ht="14.25" customHeight="1" x14ac:dyDescent="0.2">
      <c r="A21" s="39" t="str">
        <f t="shared" si="5"/>
        <v>[04ea3071]|BTC|AI vs Ninja Turtle|76min</v>
      </c>
      <c r="B21" s="42" t="s">
        <v>28</v>
      </c>
      <c r="C21" s="18">
        <f t="shared" si="6"/>
        <v>0.6</v>
      </c>
      <c r="D21" s="42" t="s">
        <v>72</v>
      </c>
      <c r="E21" s="42" t="s">
        <v>73</v>
      </c>
      <c r="F21" s="42" t="s">
        <v>74</v>
      </c>
      <c r="G21" s="42" t="s">
        <v>75</v>
      </c>
      <c r="H21" s="24">
        <v>3000</v>
      </c>
      <c r="I21" s="2">
        <f t="shared" si="7"/>
        <v>630</v>
      </c>
      <c r="J21" s="24">
        <v>1000</v>
      </c>
      <c r="K21" s="24">
        <v>40</v>
      </c>
      <c r="L21" s="19">
        <f>37.21/4.33</f>
        <v>8.5935334872979219</v>
      </c>
      <c r="M21" s="12">
        <v>78</v>
      </c>
      <c r="N21" s="45">
        <v>45682</v>
      </c>
      <c r="O21" s="21">
        <f t="array" ref="O21">IFERROR(INDEX('Strategy Watchlist'!P:P,MATCH($A21,'Strategy Watchlist'!$A:$A,0)),"Not Found")</f>
        <v>1.67</v>
      </c>
      <c r="P21" s="21">
        <v>0.99</v>
      </c>
      <c r="Q21" s="21">
        <v>-0.22</v>
      </c>
      <c r="R21" s="21">
        <v>2.83</v>
      </c>
      <c r="S21" s="21">
        <v>-1.36</v>
      </c>
      <c r="T21" s="21">
        <v>3.58</v>
      </c>
      <c r="U21" s="21">
        <v>-0.43</v>
      </c>
      <c r="V21" s="21">
        <v>1.1299999999999999</v>
      </c>
      <c r="W21" s="21">
        <v>1.58</v>
      </c>
      <c r="X21" s="21">
        <v>3.31</v>
      </c>
      <c r="Y21" s="47" t="s">
        <v>76</v>
      </c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39" t="str">
        <f t="shared" si="9"/>
        <v>[04ea3071]|BTC|AI vs Ninja Turtle|76min</v>
      </c>
      <c r="AV21" s="42" t="s">
        <v>28</v>
      </c>
      <c r="AW21" s="17"/>
      <c r="AX21" s="42" t="s">
        <v>72</v>
      </c>
      <c r="AY21" s="42" t="s">
        <v>73</v>
      </c>
      <c r="AZ21" s="42" t="s">
        <v>74</v>
      </c>
      <c r="BA21" s="42" t="s">
        <v>75</v>
      </c>
      <c r="BB21" s="19"/>
      <c r="BC21" s="19"/>
      <c r="BD21" s="19"/>
      <c r="BE21" s="19"/>
      <c r="BF21" s="19">
        <f>37.21/4.33</f>
        <v>8.5935334872979219</v>
      </c>
      <c r="BG21" s="46">
        <v>78</v>
      </c>
      <c r="BH21" s="45">
        <v>45682</v>
      </c>
      <c r="BI21" s="21">
        <v>0.99</v>
      </c>
      <c r="BJ21" s="21">
        <v>-0.22</v>
      </c>
      <c r="BK21" s="21">
        <v>2.83</v>
      </c>
      <c r="BL21" s="21">
        <v>-1.36</v>
      </c>
      <c r="BM21" s="21">
        <v>3.58</v>
      </c>
      <c r="BN21" s="21">
        <v>-0.43</v>
      </c>
      <c r="BO21" s="21">
        <v>1.1299999999999999</v>
      </c>
      <c r="BP21" s="21">
        <v>1.58</v>
      </c>
      <c r="BQ21" s="21">
        <v>3.31</v>
      </c>
      <c r="BR21" s="47" t="s">
        <v>76</v>
      </c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</row>
    <row r="22" spans="1:119" ht="14.25" customHeight="1" x14ac:dyDescent="0.2">
      <c r="A22" s="48" t="str">
        <f t="shared" si="5"/>
        <v>[967f469a]|LINK|McGingley|45m</v>
      </c>
      <c r="B22" s="48" t="s">
        <v>77</v>
      </c>
      <c r="C22" s="49">
        <f t="shared" si="6"/>
        <v>0.6</v>
      </c>
      <c r="D22" s="48" t="s">
        <v>78</v>
      </c>
      <c r="E22" s="48" t="s">
        <v>25</v>
      </c>
      <c r="F22" s="48" t="s">
        <v>79</v>
      </c>
      <c r="G22" s="48" t="s">
        <v>32</v>
      </c>
      <c r="H22" s="50">
        <v>3000</v>
      </c>
      <c r="I22" s="50">
        <f t="shared" si="7"/>
        <v>630</v>
      </c>
      <c r="J22" s="50">
        <v>5680</v>
      </c>
      <c r="K22" s="51">
        <v>22</v>
      </c>
      <c r="L22" s="52">
        <f t="array" ref="L22">IFERROR(INDEX('Strategy Watchlist'!L:L,MATCH($A22,'Strategy Watchlist'!$A:$A,0)),"Not Found")</f>
        <v>20.013513513513516</v>
      </c>
      <c r="M22" s="53">
        <f t="array" ref="M22">IFERROR(INDEX('Strategy Watchlist'!M:M,MATCH($A22,'Strategy Watchlist'!$A:$A,0)),"Not Found")</f>
        <v>83</v>
      </c>
      <c r="N22" s="54">
        <f t="array" ref="N22">IFERROR(INDEX('Strategy Watchlist'!N:N,MATCH($A22,'Strategy Watchlist'!$A:$A,0)),"Not Found")</f>
        <v>45717</v>
      </c>
      <c r="O22" s="55">
        <f t="array" ref="O22">IFERROR(INDEX('Strategy Watchlist'!P:P,MATCH($A22,'Strategy Watchlist'!$A:$A,0)),"Not Found")</f>
        <v>-1.22</v>
      </c>
      <c r="P22" s="55">
        <f t="array" ref="P22">IFERROR(INDEX('Strategy Watchlist'!Q:Q,MATCH($A22,'Strategy Watchlist'!$A:$A,0)),"Not Found")</f>
        <v>0.61</v>
      </c>
      <c r="Q22" s="55">
        <f t="array" ref="Q22">IFERROR(INDEX('Strategy Watchlist'!R:R,MATCH($A22,'Strategy Watchlist'!$A:$A,0)),"Not Found")</f>
        <v>1.39</v>
      </c>
      <c r="R22" s="55">
        <f t="array" ref="R22">IFERROR(INDEX('Strategy Watchlist'!S:S,MATCH($A22,'Strategy Watchlist'!$A:$A,0)),"Not Found")</f>
        <v>0.12</v>
      </c>
      <c r="S22" s="55">
        <f t="array" ref="S22">IFERROR(INDEX('Strategy Watchlist'!T:T,MATCH($A22,'Strategy Watchlist'!$A:$A,0)),"Not Found")</f>
        <v>1.48</v>
      </c>
      <c r="T22" s="55">
        <f t="array" ref="T22">IFERROR(INDEX('Strategy Watchlist'!U:U,MATCH($A22,'Strategy Watchlist'!$A:$A,0)),"Not Found")</f>
        <v>0.54</v>
      </c>
      <c r="U22" s="55">
        <f t="array" ref="U22">IFERROR(INDEX('Strategy Watchlist'!V:V,MATCH($A22,'Strategy Watchlist'!$A:$A,0)),"Not Found")</f>
        <v>0.91</v>
      </c>
      <c r="V22" s="55">
        <f t="array" ref="V22">IFERROR(INDEX('Strategy Watchlist'!W:W,MATCH($A22,'Strategy Watchlist'!$A:$A,0)),"Not Found")</f>
        <v>0.02</v>
      </c>
      <c r="W22" s="55">
        <f t="array" ref="W22">IFERROR(INDEX('Strategy Watchlist'!X:X,MATCH($A22,'Strategy Watchlist'!$A:$A,0)),"Not Found")</f>
        <v>0.97</v>
      </c>
      <c r="X22" s="55">
        <f t="array" ref="X22">IFERROR(INDEX('Strategy Watchlist'!Y:Y,MATCH($A22,'Strategy Watchlist'!$A:$A,0)),"Not Found")</f>
        <v>-0.53</v>
      </c>
      <c r="Y22" s="56" t="str">
        <f t="array" ref="Y22">IFERROR(INDEX('Strategy Watchlist'!Z:Z,MATCH($A22,'Strategy Watchlist'!$A:$A,0)),"Not Found")</f>
        <v>https://www.tradingview.com/chart/285fzTJB/</v>
      </c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</row>
    <row r="23" spans="1:119" ht="14.25" customHeight="1" x14ac:dyDescent="0.2">
      <c r="A23" s="17"/>
      <c r="B23" s="1"/>
      <c r="C23" s="18"/>
      <c r="D23" s="1"/>
      <c r="E23" s="1"/>
      <c r="F23" s="1"/>
      <c r="G23" s="1"/>
      <c r="H23" s="57"/>
      <c r="I23" s="57"/>
      <c r="J23" s="57"/>
      <c r="K23" s="58"/>
      <c r="L23" s="19"/>
      <c r="M23" s="12"/>
      <c r="N23" s="20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19"/>
      <c r="Z23" s="1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</row>
    <row r="24" spans="1:119" ht="14.25" customHeight="1" x14ac:dyDescent="0.2">
      <c r="A24" s="36" t="str">
        <f t="shared" ref="A24:A34" si="10">D24&amp;"|"&amp;E24&amp;"|"&amp;F24&amp;"|"&amp;G24</f>
        <v>7x|4400||</v>
      </c>
      <c r="B24" s="37" t="s">
        <v>80</v>
      </c>
      <c r="C24" s="37"/>
      <c r="D24" s="37" t="s">
        <v>27</v>
      </c>
      <c r="E24" s="37">
        <v>4400</v>
      </c>
      <c r="F24" s="37"/>
      <c r="G24" s="37"/>
      <c r="H24" s="37"/>
      <c r="I24" s="38"/>
      <c r="J24" s="38"/>
      <c r="K24" s="37"/>
      <c r="L24" s="59"/>
      <c r="M24" s="12"/>
      <c r="N24" s="60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59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</row>
    <row r="25" spans="1:119" ht="14.25" customHeight="1" x14ac:dyDescent="0.2">
      <c r="A25" s="17" t="str">
        <f t="shared" si="10"/>
        <v>17.12.2024|ARB|Heiken-Ashi|45m</v>
      </c>
      <c r="B25" s="1" t="s">
        <v>28</v>
      </c>
      <c r="C25" s="62">
        <f t="shared" ref="C25:C34" si="11">H25/$C$4</f>
        <v>0.4</v>
      </c>
      <c r="D25" s="58" t="s">
        <v>81</v>
      </c>
      <c r="E25" s="1" t="s">
        <v>30</v>
      </c>
      <c r="F25" s="1" t="s">
        <v>37</v>
      </c>
      <c r="G25" s="1" t="s">
        <v>32</v>
      </c>
      <c r="H25" s="1">
        <v>2000</v>
      </c>
      <c r="I25" s="2">
        <f t="shared" ref="I25:I34" si="12">H25*0.21</f>
        <v>420</v>
      </c>
      <c r="J25" s="2">
        <v>440</v>
      </c>
      <c r="K25" s="1">
        <v>16</v>
      </c>
      <c r="L25" s="19">
        <f t="array" ref="L25">IFERROR(INDEX('Strategy Watchlist'!L:L,MATCH($A25,'Strategy Watchlist'!$A:$A,0)),"Not Found")</f>
        <v>12.102857142857143</v>
      </c>
      <c r="M25" s="12">
        <f t="array" ref="M25">IFERROR(INDEX('Strategy Watchlist'!M:M,MATCH($A25,'Strategy Watchlist'!$A:$A,0)),"Not Found")</f>
        <v>294</v>
      </c>
      <c r="N25" s="20">
        <f t="array" ref="N25">IFERROR(INDEX('Strategy Watchlist'!N:N,MATCH($A25,'Strategy Watchlist'!$A:$A,0)),"Not Found")</f>
        <v>45772</v>
      </c>
      <c r="O25" s="21">
        <f t="array" ref="O25">IFERROR(INDEX('Strategy Watchlist'!P:P,MATCH($A25,'Strategy Watchlist'!$A:$A,0)),"Not Found")</f>
        <v>-0.88</v>
      </c>
      <c r="P25" s="21">
        <f t="array" ref="P25">IFERROR(INDEX('Strategy Watchlist'!Q:Q,MATCH($A25,'Strategy Watchlist'!$A:$A,0)),"Not Found")</f>
        <v>0.46</v>
      </c>
      <c r="Q25" s="21">
        <f t="array" ref="Q25">IFERROR(INDEX('Strategy Watchlist'!R:R,MATCH($A25,'Strategy Watchlist'!$A:$A,0)),"Not Found")</f>
        <v>-0.54</v>
      </c>
      <c r="R25" s="21">
        <f t="array" ref="R25">IFERROR(INDEX('Strategy Watchlist'!S:S,MATCH($A25,'Strategy Watchlist'!$A:$A,0)),"Not Found")</f>
        <v>4.43</v>
      </c>
      <c r="S25" s="21">
        <f t="array" ref="S25">IFERROR(INDEX('Strategy Watchlist'!T:T,MATCH($A25,'Strategy Watchlist'!$A:$A,0)),"Not Found")</f>
        <v>-0.26</v>
      </c>
      <c r="T25" s="21">
        <f t="array" ref="T25">IFERROR(INDEX('Strategy Watchlist'!U:U,MATCH($A25,'Strategy Watchlist'!$A:$A,0)),"Not Found")</f>
        <v>0.04</v>
      </c>
      <c r="U25" s="21">
        <f t="array" ref="U25">IFERROR(INDEX('Strategy Watchlist'!V:V,MATCH($A25,'Strategy Watchlist'!$A:$A,0)),"Not Found")</f>
        <v>1.27</v>
      </c>
      <c r="V25" s="21">
        <f t="array" ref="V25">IFERROR(INDEX('Strategy Watchlist'!W:W,MATCH($A25,'Strategy Watchlist'!$A:$A,0)),"Not Found")</f>
        <v>3.69</v>
      </c>
      <c r="W25" s="21">
        <f t="array" ref="W25">IFERROR(INDEX('Strategy Watchlist'!X:X,MATCH($A25,'Strategy Watchlist'!$A:$A,0)),"Not Found")</f>
        <v>-0.27</v>
      </c>
      <c r="X25" s="21">
        <f t="array" ref="X25">IFERROR(INDEX('Strategy Watchlist'!Y:Y,MATCH($A25,'Strategy Watchlist'!$A:$A,0)),"Not Found")</f>
        <v>3.17</v>
      </c>
      <c r="Y25" s="22" t="str">
        <f t="array" ref="Y25">IFERROR(INDEX('Strategy Watchlist'!Z:Z,MATCH($A25,'Strategy Watchlist'!$A:$A,0)),"Not Found")</f>
        <v>https://www.tradingview.com/chart/9cT1VRvW/</v>
      </c>
      <c r="Z25" s="58"/>
      <c r="AA25" s="58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4.25" customHeight="1" x14ac:dyDescent="0.2">
      <c r="A26" s="63" t="str">
        <f t="shared" si="10"/>
        <v>|PePe|T3 Nexus|30m</v>
      </c>
      <c r="B26" s="63" t="s">
        <v>28</v>
      </c>
      <c r="C26" s="64">
        <f t="shared" si="11"/>
        <v>0.3</v>
      </c>
      <c r="D26" s="63"/>
      <c r="E26" s="63" t="s">
        <v>40</v>
      </c>
      <c r="F26" s="63" t="s">
        <v>82</v>
      </c>
      <c r="G26" s="63" t="s">
        <v>38</v>
      </c>
      <c r="H26" s="65">
        <v>1500</v>
      </c>
      <c r="I26" s="65">
        <f t="shared" si="12"/>
        <v>315</v>
      </c>
      <c r="J26" s="65">
        <v>460</v>
      </c>
      <c r="K26" s="63">
        <v>16</v>
      </c>
      <c r="L26" s="66">
        <f t="array" ref="L26">IFERROR(INDEX('Strategy Watchlist'!L:L,MATCH($A26,'Strategy Watchlist'!$A:$A,0)),"Not Found")</f>
        <v>0.82275229357798174</v>
      </c>
      <c r="M26" s="67">
        <f t="array" ref="M26">IFERROR(INDEX('Strategy Watchlist'!M:M,MATCH($A26,'Strategy Watchlist'!$A:$A,0)),"Not Found")</f>
        <v>748</v>
      </c>
      <c r="N26" s="68">
        <f t="array" ref="N26">IFERROR(INDEX('Strategy Watchlist'!N:N,MATCH($A26,'Strategy Watchlist'!$A:$A,0)),"Not Found")</f>
        <v>45662</v>
      </c>
      <c r="O26" s="69">
        <f t="array" ref="O26">IFERROR(INDEX('Strategy Watchlist'!P:P,MATCH($A26,'Strategy Watchlist'!$A:$A,0)),"Not Found")</f>
        <v>-8.9600000000000009</v>
      </c>
      <c r="P26" s="69">
        <f t="array" ref="P26">IFERROR(INDEX('Strategy Watchlist'!Q:Q,MATCH($A26,'Strategy Watchlist'!$A:$A,0)),"Not Found")</f>
        <v>-0.19</v>
      </c>
      <c r="Q26" s="69">
        <f t="array" ref="Q26">IFERROR(INDEX('Strategy Watchlist'!R:R,MATCH($A26,'Strategy Watchlist'!$A:$A,0)),"Not Found")</f>
        <v>6.1</v>
      </c>
      <c r="R26" s="69">
        <f t="array" ref="R26">IFERROR(INDEX('Strategy Watchlist'!S:S,MATCH($A26,'Strategy Watchlist'!$A:$A,0)),"Not Found")</f>
        <v>3.29</v>
      </c>
      <c r="S26" s="69">
        <f t="array" ref="S26">IFERROR(INDEX('Strategy Watchlist'!T:T,MATCH($A26,'Strategy Watchlist'!$A:$A,0)),"Not Found")</f>
        <v>1.47</v>
      </c>
      <c r="T26" s="69">
        <f t="array" ref="T26">IFERROR(INDEX('Strategy Watchlist'!U:U,MATCH($A26,'Strategy Watchlist'!$A:$A,0)),"Not Found")</f>
        <v>6.2</v>
      </c>
      <c r="U26" s="69">
        <f t="array" ref="U26">IFERROR(INDEX('Strategy Watchlist'!V:V,MATCH($A26,'Strategy Watchlist'!$A:$A,0)),"Not Found")</f>
        <v>-4.5</v>
      </c>
      <c r="V26" s="69">
        <f t="array" ref="V26">IFERROR(INDEX('Strategy Watchlist'!W:W,MATCH($A26,'Strategy Watchlist'!$A:$A,0)),"Not Found")</f>
        <v>4.74</v>
      </c>
      <c r="W26" s="69">
        <f t="array" ref="W26">IFERROR(INDEX('Strategy Watchlist'!X:X,MATCH($A26,'Strategy Watchlist'!$A:$A,0)),"Not Found")</f>
        <v>1.1599999999999999</v>
      </c>
      <c r="X26" s="69">
        <f t="array" ref="X26">IFERROR(INDEX('Strategy Watchlist'!Y:Y,MATCH($A26,'Strategy Watchlist'!$A:$A,0)),"Not Found")</f>
        <v>7.62</v>
      </c>
      <c r="Y26" s="70" t="str">
        <f t="array" ref="Y26">IFERROR(INDEX('Strategy Watchlist'!Z:Z,MATCH($A26,'Strategy Watchlist'!$A:$A,0)),"Not Found")</f>
        <v>https://www.tradingview.com/chart/Kj5ZGHdw/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</row>
    <row r="27" spans="1:119" ht="14.25" customHeight="1" x14ac:dyDescent="0.2">
      <c r="A27" s="17" t="str">
        <f t="shared" si="10"/>
        <v>[1e052093]|SOL|FlashProfit|59m</v>
      </c>
      <c r="B27" s="1" t="s">
        <v>28</v>
      </c>
      <c r="C27" s="62">
        <f t="shared" si="11"/>
        <v>0.8</v>
      </c>
      <c r="D27" s="58" t="s">
        <v>83</v>
      </c>
      <c r="E27" s="1" t="s">
        <v>43</v>
      </c>
      <c r="F27" s="1" t="s">
        <v>84</v>
      </c>
      <c r="G27" s="1" t="s">
        <v>85</v>
      </c>
      <c r="H27" s="1">
        <v>4000</v>
      </c>
      <c r="I27" s="2">
        <f t="shared" si="12"/>
        <v>840</v>
      </c>
      <c r="J27" s="2">
        <v>800</v>
      </c>
      <c r="K27" s="1">
        <v>25</v>
      </c>
      <c r="L27" s="19">
        <f t="array" ref="L27">IFERROR(INDEX('Strategy Watchlist'!L:L,MATCH($A27,'Strategy Watchlist'!$A:$A,0)),"Not Found")</f>
        <v>4.1988505747126439</v>
      </c>
      <c r="M27" s="12">
        <f t="array" ref="M27">IFERROR(INDEX('Strategy Watchlist'!M:M,MATCH($A27,'Strategy Watchlist'!$A:$A,0)),"Not Found")</f>
        <v>567</v>
      </c>
      <c r="N27" s="20">
        <f t="array" ref="N27">IFERROR(INDEX('Strategy Watchlist'!N:N,MATCH($A27,'Strategy Watchlist'!$A:$A,0)),"Not Found")</f>
        <v>45925</v>
      </c>
      <c r="O27" s="21">
        <f t="array" ref="O27">IFERROR(INDEX('Strategy Watchlist'!P:P,MATCH($A27,'Strategy Watchlist'!$A:$A,0)),"Not Found")</f>
        <v>0.82</v>
      </c>
      <c r="P27" s="21">
        <f t="array" ref="P27">IFERROR(INDEX('Strategy Watchlist'!Q:Q,MATCH($A27,'Strategy Watchlist'!$A:$A,0)),"Not Found")</f>
        <v>6.44</v>
      </c>
      <c r="Q27" s="21">
        <f t="array" ref="Q27">IFERROR(INDEX('Strategy Watchlist'!R:R,MATCH($A27,'Strategy Watchlist'!$A:$A,0)),"Not Found")</f>
        <v>4.43</v>
      </c>
      <c r="R27" s="21">
        <f t="array" ref="R27">IFERROR(INDEX('Strategy Watchlist'!S:S,MATCH($A27,'Strategy Watchlist'!$A:$A,0)),"Not Found")</f>
        <v>-0.32</v>
      </c>
      <c r="S27" s="21">
        <f t="array" ref="S27">IFERROR(INDEX('Strategy Watchlist'!T:T,MATCH($A27,'Strategy Watchlist'!$A:$A,0)),"Not Found")</f>
        <v>0.78</v>
      </c>
      <c r="T27" s="21">
        <f t="array" ref="T27">IFERROR(INDEX('Strategy Watchlist'!U:U,MATCH($A27,'Strategy Watchlist'!$A:$A,0)),"Not Found")</f>
        <v>2.0299999999999998</v>
      </c>
      <c r="U27" s="21">
        <f t="array" ref="U27">IFERROR(INDEX('Strategy Watchlist'!V:V,MATCH($A27,'Strategy Watchlist'!$A:$A,0)),"Not Found")</f>
        <v>0.72</v>
      </c>
      <c r="V27" s="21">
        <f t="array" ref="V27">IFERROR(INDEX('Strategy Watchlist'!W:W,MATCH($A27,'Strategy Watchlist'!$A:$A,0)),"Not Found")</f>
        <v>2.39</v>
      </c>
      <c r="W27" s="21">
        <f t="array" ref="W27">IFERROR(INDEX('Strategy Watchlist'!X:X,MATCH($A27,'Strategy Watchlist'!$A:$A,0)),"Not Found")</f>
        <v>1.96</v>
      </c>
      <c r="X27" s="21">
        <f t="array" ref="X27">IFERROR(INDEX('Strategy Watchlist'!Y:Y,MATCH($A27,'Strategy Watchlist'!$A:$A,0)),"Not Found")</f>
        <v>0.45</v>
      </c>
      <c r="Y27" s="22" t="str">
        <f t="array" ref="Y27">IFERROR(INDEX('Strategy Watchlist'!Z:Z,MATCH($A27,'Strategy Watchlist'!$A:$A,0)),"Not Found")</f>
        <v>https://www.tradingview.com/chart/mnGjsgoY/</v>
      </c>
      <c r="Z27" s="58"/>
      <c r="AA27" s="58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ht="14.25" customHeight="1" x14ac:dyDescent="0.2">
      <c r="A28" s="17" t="str">
        <f t="shared" si="10"/>
        <v>|LINK|McGinley|45m</v>
      </c>
      <c r="B28" s="17" t="s">
        <v>28</v>
      </c>
      <c r="C28" s="62">
        <f t="shared" si="11"/>
        <v>0.7</v>
      </c>
      <c r="D28" s="17"/>
      <c r="E28" s="17" t="s">
        <v>25</v>
      </c>
      <c r="F28" s="17" t="s">
        <v>47</v>
      </c>
      <c r="G28" s="17" t="s">
        <v>32</v>
      </c>
      <c r="H28" s="24">
        <v>3500</v>
      </c>
      <c r="I28" s="24">
        <f t="shared" si="12"/>
        <v>735</v>
      </c>
      <c r="J28" s="24">
        <v>800</v>
      </c>
      <c r="K28" s="17">
        <v>25</v>
      </c>
      <c r="L28" s="19">
        <f t="array" ref="L28">IFERROR(INDEX('Strategy Watchlist'!L:L,MATCH($A28,'Strategy Watchlist'!$A:$A,0)),"Not Found")</f>
        <v>7.7349823321554769</v>
      </c>
      <c r="M28" s="12">
        <f t="array" ref="M28">IFERROR(INDEX('Strategy Watchlist'!M:M,MATCH($A28,'Strategy Watchlist'!$A:$A,0)),"Not Found")</f>
        <v>147</v>
      </c>
      <c r="N28" s="20">
        <f t="array" ref="N28">IFERROR(INDEX('Strategy Watchlist'!N:N,MATCH($A28,'Strategy Watchlist'!$A:$A,0)),"Not Found")</f>
        <v>45802</v>
      </c>
      <c r="O28" s="21">
        <f t="array" ref="O28">IFERROR(INDEX('Strategy Watchlist'!P:P,MATCH($A28,'Strategy Watchlist'!$A:$A,0)),"Not Found")</f>
        <v>-0.55000000000000004</v>
      </c>
      <c r="P28" s="21">
        <f t="array" ref="P28">IFERROR(INDEX('Strategy Watchlist'!Q:Q,MATCH($A28,'Strategy Watchlist'!$A:$A,0)),"Not Found")</f>
        <v>-1.1000000000000001</v>
      </c>
      <c r="Q28" s="21">
        <f t="array" ref="Q28">IFERROR(INDEX('Strategy Watchlist'!R:R,MATCH($A28,'Strategy Watchlist'!$A:$A,0)),"Not Found")</f>
        <v>2.98</v>
      </c>
      <c r="R28" s="21">
        <f t="array" ref="R28">IFERROR(INDEX('Strategy Watchlist'!S:S,MATCH($A28,'Strategy Watchlist'!$A:$A,0)),"Not Found")</f>
        <v>2.97</v>
      </c>
      <c r="S28" s="21">
        <f t="array" ref="S28">IFERROR(INDEX('Strategy Watchlist'!T:T,MATCH($A28,'Strategy Watchlist'!$A:$A,0)),"Not Found")</f>
        <v>2.9</v>
      </c>
      <c r="T28" s="21">
        <f t="array" ref="T28">IFERROR(INDEX('Strategy Watchlist'!U:U,MATCH($A28,'Strategy Watchlist'!$A:$A,0)),"Not Found")</f>
        <v>2</v>
      </c>
      <c r="U28" s="21">
        <f t="array" ref="U28">IFERROR(INDEX('Strategy Watchlist'!V:V,MATCH($A28,'Strategy Watchlist'!$A:$A,0)),"Not Found")</f>
        <v>2.2400000000000002</v>
      </c>
      <c r="V28" s="21">
        <f t="array" ref="V28">IFERROR(INDEX('Strategy Watchlist'!W:W,MATCH($A28,'Strategy Watchlist'!$A:$A,0)),"Not Found")</f>
        <v>0.79</v>
      </c>
      <c r="W28" s="21">
        <f t="array" ref="W28">IFERROR(INDEX('Strategy Watchlist'!X:X,MATCH($A28,'Strategy Watchlist'!$A:$A,0)),"Not Found")</f>
        <v>0.69</v>
      </c>
      <c r="X28" s="21">
        <f t="array" ref="X28">IFERROR(INDEX('Strategy Watchlist'!Y:Y,MATCH($A28,'Strategy Watchlist'!$A:$A,0)),"Not Found")</f>
        <v>-0.61</v>
      </c>
      <c r="Y28" s="22" t="str">
        <f t="array" ref="Y28">IFERROR(INDEX('Strategy Watchlist'!Z:Z,MATCH($A28,'Strategy Watchlist'!$A:$A,0)),"Not Found")</f>
        <v>https://www.tradingview.com/chart/elrmSYee/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</row>
    <row r="29" spans="1:119" ht="14.25" customHeight="1" x14ac:dyDescent="0.2">
      <c r="A29" s="17" t="str">
        <f t="shared" si="10"/>
        <v>[6dcd4dc9]|ETH|precisionTrend|30m</v>
      </c>
      <c r="B29" s="1" t="s">
        <v>28</v>
      </c>
      <c r="C29" s="62">
        <f t="shared" si="11"/>
        <v>0.6</v>
      </c>
      <c r="D29" s="58" t="s">
        <v>86</v>
      </c>
      <c r="E29" s="1" t="s">
        <v>46</v>
      </c>
      <c r="F29" s="1" t="s">
        <v>54</v>
      </c>
      <c r="G29" s="1" t="s">
        <v>38</v>
      </c>
      <c r="H29" s="1">
        <v>3000</v>
      </c>
      <c r="I29" s="24">
        <f t="shared" si="12"/>
        <v>630</v>
      </c>
      <c r="J29" s="2">
        <v>920</v>
      </c>
      <c r="K29" s="1">
        <v>22</v>
      </c>
      <c r="L29" s="19">
        <f t="array" ref="L29">IFERROR(INDEX('Strategy Watchlist'!L:L,MATCH($A29,'Strategy Watchlist'!$A:$A,0)),"Not Found")</f>
        <v>9.2112359550561802</v>
      </c>
      <c r="M29" s="12">
        <f t="array" ref="M29">IFERROR(INDEX('Strategy Watchlist'!M:M,MATCH($A29,'Strategy Watchlist'!$A:$A,0)),"Not Found")</f>
        <v>312</v>
      </c>
      <c r="N29" s="20">
        <f t="array" ref="N29">IFERROR(INDEX('Strategy Watchlist'!N:N,MATCH($A29,'Strategy Watchlist'!$A:$A,0)),"Not Found")</f>
        <v>45772</v>
      </c>
      <c r="O29" s="21">
        <f t="array" ref="O29">IFERROR(INDEX('Strategy Watchlist'!P:P,MATCH($A29,'Strategy Watchlist'!$A:$A,0)),"Not Found")</f>
        <v>1.07</v>
      </c>
      <c r="P29" s="21">
        <f t="array" ref="P29">IFERROR(INDEX('Strategy Watchlist'!Q:Q,MATCH($A29,'Strategy Watchlist'!$A:$A,0)),"Not Found")</f>
        <v>-2.52</v>
      </c>
      <c r="Q29" s="21">
        <f t="array" ref="Q29">IFERROR(INDEX('Strategy Watchlist'!R:R,MATCH($A29,'Strategy Watchlist'!$A:$A,0)),"Not Found")</f>
        <v>1.84</v>
      </c>
      <c r="R29" s="21">
        <f t="array" ref="R29">IFERROR(INDEX('Strategy Watchlist'!S:S,MATCH($A29,'Strategy Watchlist'!$A:$A,0)),"Not Found")</f>
        <v>3.9</v>
      </c>
      <c r="S29" s="21">
        <f t="array" ref="S29">IFERROR(INDEX('Strategy Watchlist'!T:T,MATCH($A29,'Strategy Watchlist'!$A:$A,0)),"Not Found")</f>
        <v>1.37</v>
      </c>
      <c r="T29" s="21">
        <f t="array" ref="T29">IFERROR(INDEX('Strategy Watchlist'!U:U,MATCH($A29,'Strategy Watchlist'!$A:$A,0)),"Not Found")</f>
        <v>6.22</v>
      </c>
      <c r="U29" s="21">
        <f t="array" ref="U29">IFERROR(INDEX('Strategy Watchlist'!V:V,MATCH($A29,'Strategy Watchlist'!$A:$A,0)),"Not Found")</f>
        <v>3</v>
      </c>
      <c r="V29" s="21">
        <f t="array" ref="V29">IFERROR(INDEX('Strategy Watchlist'!W:W,MATCH($A29,'Strategy Watchlist'!$A:$A,0)),"Not Found")</f>
        <v>3.99</v>
      </c>
      <c r="W29" s="21">
        <f t="array" ref="W29">IFERROR(INDEX('Strategy Watchlist'!X:X,MATCH($A29,'Strategy Watchlist'!$A:$A,0)),"Not Found")</f>
        <v>0.93</v>
      </c>
      <c r="X29" s="21">
        <f t="array" ref="X29">IFERROR(INDEX('Strategy Watchlist'!Y:Y,MATCH($A29,'Strategy Watchlist'!$A:$A,0)),"Not Found")</f>
        <v>2.21</v>
      </c>
      <c r="Y29" s="22" t="str">
        <f t="array" ref="Y29">IFERROR(INDEX('Strategy Watchlist'!Z:Z,MATCH($A29,'Strategy Watchlist'!$A:$A,0)),"Not Found")</f>
        <v>https://www.tradingview.com/chart/YxD2lfI2/</v>
      </c>
      <c r="Z29" s="58"/>
      <c r="AA29" s="58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</row>
    <row r="30" spans="1:119" ht="14.25" customHeight="1" x14ac:dyDescent="0.2">
      <c r="A30" s="29" t="str">
        <f t="shared" si="10"/>
        <v>[da58bf67]|NEAR|Trendhoo|30m</v>
      </c>
      <c r="B30" s="29" t="s">
        <v>28</v>
      </c>
      <c r="C30" s="71">
        <f t="shared" si="11"/>
        <v>0.36</v>
      </c>
      <c r="D30" s="28" t="s">
        <v>87</v>
      </c>
      <c r="E30" s="26" t="s">
        <v>57</v>
      </c>
      <c r="F30" s="29" t="s">
        <v>67</v>
      </c>
      <c r="G30" s="26" t="s">
        <v>38</v>
      </c>
      <c r="H30" s="29">
        <v>1800</v>
      </c>
      <c r="I30" s="30">
        <f t="shared" si="12"/>
        <v>378</v>
      </c>
      <c r="J30" s="30">
        <v>400</v>
      </c>
      <c r="K30" s="30">
        <v>18</v>
      </c>
      <c r="L30" s="72">
        <f t="array" ref="L30">IFERROR(INDEX('Strategy Watchlist'!L:L,MATCH($A30,'Strategy Watchlist'!$A:$A,0)),"Not Found")</f>
        <v>5.9785234899328854</v>
      </c>
      <c r="M30" s="73">
        <f t="array" ref="M30">IFERROR(INDEX('Strategy Watchlist'!M:M,MATCH($A30,'Strategy Watchlist'!$A:$A,0)),"Not Found")</f>
        <v>188</v>
      </c>
      <c r="N30" s="74">
        <f t="array" ref="N30">IFERROR(INDEX('Strategy Watchlist'!N:N,MATCH($A30,'Strategy Watchlist'!$A:$A,0)),"Not Found")</f>
        <v>45802</v>
      </c>
      <c r="O30" s="28">
        <f t="array" ref="O30">IFERROR(INDEX('Strategy Watchlist'!P:P,MATCH($A30,'Strategy Watchlist'!$A:$A,0)),"Not Found")</f>
        <v>0.27</v>
      </c>
      <c r="P30" s="28">
        <f t="array" ref="P30">IFERROR(INDEX('Strategy Watchlist'!Q:Q,MATCH($A30,'Strategy Watchlist'!$A:$A,0)),"Not Found")</f>
        <v>0</v>
      </c>
      <c r="Q30" s="28">
        <f t="array" ref="Q30">IFERROR(INDEX('Strategy Watchlist'!R:R,MATCH($A30,'Strategy Watchlist'!$A:$A,0)),"Not Found")</f>
        <v>4.76</v>
      </c>
      <c r="R30" s="28">
        <f t="array" ref="R30">IFERROR(INDEX('Strategy Watchlist'!S:S,MATCH($A30,'Strategy Watchlist'!$A:$A,0)),"Not Found")</f>
        <v>1.93</v>
      </c>
      <c r="S30" s="28">
        <f t="array" ref="S30">IFERROR(INDEX('Strategy Watchlist'!T:T,MATCH($A30,'Strategy Watchlist'!$A:$A,0)),"Not Found")</f>
        <v>1.34</v>
      </c>
      <c r="T30" s="28">
        <f t="array" ref="T30">IFERROR(INDEX('Strategy Watchlist'!U:U,MATCH($A30,'Strategy Watchlist'!$A:$A,0)),"Not Found")</f>
        <v>2.2999999999999998</v>
      </c>
      <c r="U30" s="28">
        <f t="array" ref="U30">IFERROR(INDEX('Strategy Watchlist'!V:V,MATCH($A30,'Strategy Watchlist'!$A:$A,0)),"Not Found")</f>
        <v>0.08</v>
      </c>
      <c r="V30" s="28">
        <f t="array" ref="V30">IFERROR(INDEX('Strategy Watchlist'!W:W,MATCH($A30,'Strategy Watchlist'!$A:$A,0)),"Not Found")</f>
        <v>1.26</v>
      </c>
      <c r="W30" s="28">
        <f t="array" ref="W30">IFERROR(INDEX('Strategy Watchlist'!X:X,MATCH($A30,'Strategy Watchlist'!$A:$A,0)),"Not Found")</f>
        <v>1.01</v>
      </c>
      <c r="X30" s="28">
        <f t="array" ref="X30">IFERROR(INDEX('Strategy Watchlist'!Y:Y,MATCH($A30,'Strategy Watchlist'!$A:$A,0)),"Not Found")</f>
        <v>5.82</v>
      </c>
      <c r="Y30" s="34" t="str">
        <f t="array" ref="Y30">IFERROR(INDEX('Strategy Watchlist'!Z:Z,MATCH($A30,'Strategy Watchlist'!$A:$A,0)),"Not Found")</f>
        <v>https://www.tradingview.com/chart/CsNPJ40O/</v>
      </c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 t="s">
        <v>62</v>
      </c>
      <c r="AV30" s="26"/>
      <c r="AW30" s="26" t="s">
        <v>57</v>
      </c>
      <c r="AX30" s="29" t="s">
        <v>67</v>
      </c>
      <c r="AY30" s="72">
        <f>44.54/7.45</f>
        <v>5.9785234899328854</v>
      </c>
      <c r="AZ30" s="75">
        <v>188</v>
      </c>
      <c r="BA30" s="26" t="s">
        <v>38</v>
      </c>
      <c r="BB30" s="33">
        <v>45802</v>
      </c>
      <c r="BC30" s="28">
        <v>-0.16</v>
      </c>
      <c r="BD30" s="28">
        <v>4.76</v>
      </c>
      <c r="BE30" s="28">
        <v>1.93</v>
      </c>
      <c r="BF30" s="28">
        <v>1.34</v>
      </c>
      <c r="BG30" s="28">
        <v>2.2999999999999998</v>
      </c>
      <c r="BH30" s="28">
        <v>0.08</v>
      </c>
      <c r="BI30" s="28">
        <v>1.26</v>
      </c>
      <c r="BJ30" s="28">
        <v>1.01</v>
      </c>
      <c r="BK30" s="28">
        <v>5.82</v>
      </c>
      <c r="BL30" s="28" t="s">
        <v>87</v>
      </c>
      <c r="BM30" s="35" t="s">
        <v>88</v>
      </c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</row>
    <row r="31" spans="1:119" ht="15.75" customHeight="1" x14ac:dyDescent="0.2">
      <c r="A31" s="39" t="str">
        <f t="shared" si="10"/>
        <v>[4a2ddf14]|AAVE|McGlinley|45m</v>
      </c>
      <c r="B31" s="42" t="s">
        <v>28</v>
      </c>
      <c r="C31" s="62">
        <f t="shared" si="11"/>
        <v>0.8</v>
      </c>
      <c r="D31" s="42" t="s">
        <v>89</v>
      </c>
      <c r="E31" s="42" t="s">
        <v>90</v>
      </c>
      <c r="F31" s="42" t="s">
        <v>91</v>
      </c>
      <c r="G31" s="42" t="s">
        <v>32</v>
      </c>
      <c r="H31" s="1">
        <v>4000</v>
      </c>
      <c r="I31" s="24">
        <f t="shared" si="12"/>
        <v>840</v>
      </c>
      <c r="J31" s="24">
        <f t="shared" ref="J31:J34" si="13">I31</f>
        <v>840</v>
      </c>
      <c r="K31" s="1">
        <v>23</v>
      </c>
      <c r="L31" s="19">
        <f>12.6/4.72</f>
        <v>2.6694915254237288</v>
      </c>
      <c r="M31" s="12">
        <v>317</v>
      </c>
      <c r="N31" s="45">
        <v>45682</v>
      </c>
      <c r="O31" s="21">
        <f t="array" ref="O31">IFERROR(INDEX('Strategy Watchlist'!P:P,MATCH($A31,'Strategy Watchlist'!$A:$A,0)),"Not Found")</f>
        <v>2.66</v>
      </c>
      <c r="P31" s="21">
        <f t="array" ref="P31">IFERROR(INDEX('Strategy Watchlist'!Q:Q,MATCH($A31,'Strategy Watchlist'!$A:$A,0)),"Not Found")</f>
        <v>-0.85</v>
      </c>
      <c r="Q31" s="21">
        <f t="array" ref="Q31">IFERROR(INDEX('Strategy Watchlist'!R:R,MATCH($A31,'Strategy Watchlist'!$A:$A,0)),"Not Found")</f>
        <v>3.55</v>
      </c>
      <c r="R31" s="21">
        <f t="array" ref="R31">IFERROR(INDEX('Strategy Watchlist'!S:S,MATCH($A31,'Strategy Watchlist'!$A:$A,0)),"Not Found")</f>
        <v>1.77</v>
      </c>
      <c r="S31" s="21">
        <f t="array" ref="S31">IFERROR(INDEX('Strategy Watchlist'!T:T,MATCH($A31,'Strategy Watchlist'!$A:$A,0)),"Not Found")</f>
        <v>1.63</v>
      </c>
      <c r="T31" s="21">
        <f t="array" ref="T31">IFERROR(INDEX('Strategy Watchlist'!U:U,MATCH($A31,'Strategy Watchlist'!$A:$A,0)),"Not Found")</f>
        <v>-1.84</v>
      </c>
      <c r="U31" s="21">
        <f t="array" ref="U31">IFERROR(INDEX('Strategy Watchlist'!V:V,MATCH($A31,'Strategy Watchlist'!$A:$A,0)),"Not Found")</f>
        <v>0.2</v>
      </c>
      <c r="V31" s="21">
        <f t="array" ref="V31">IFERROR(INDEX('Strategy Watchlist'!W:W,MATCH($A31,'Strategy Watchlist'!$A:$A,0)),"Not Found")</f>
        <v>-1.49</v>
      </c>
      <c r="W31" s="21">
        <f t="array" ref="W31">IFERROR(INDEX('Strategy Watchlist'!X:X,MATCH($A31,'Strategy Watchlist'!$A:$A,0)),"Not Found")</f>
        <v>0</v>
      </c>
      <c r="X31" s="21">
        <f t="array" ref="X31">IFERROR(INDEX('Strategy Watchlist'!Y:Y,MATCH($A31,'Strategy Watchlist'!$A:$A,0)),"Not Found")</f>
        <v>0.28000000000000003</v>
      </c>
      <c r="Y31" s="22" t="str">
        <f t="array" ref="Y31">IFERROR(INDEX('Strategy Watchlist'!Z:Z,MATCH($A31,'Strategy Watchlist'!$A:$A,0)),"Not Found")</f>
        <v>https://www.tradingview.com/chart/Xt8Libni/</v>
      </c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39" t="str">
        <f>AX31&amp;"|"&amp;AY31&amp;"|"&amp;AZ31&amp;"|"&amp;BA31</f>
        <v>[4a2ddf14]|AAVE|McGlinley|45m</v>
      </c>
      <c r="AV31" s="42" t="s">
        <v>28</v>
      </c>
      <c r="AW31" s="17"/>
      <c r="AX31" s="42" t="s">
        <v>89</v>
      </c>
      <c r="AY31" s="42" t="s">
        <v>90</v>
      </c>
      <c r="AZ31" s="42" t="s">
        <v>91</v>
      </c>
      <c r="BA31" s="42" t="s">
        <v>32</v>
      </c>
      <c r="BB31" s="19"/>
      <c r="BC31" s="19"/>
      <c r="BD31" s="19"/>
      <c r="BE31" s="19"/>
      <c r="BF31" s="19">
        <f>12.6/4.72</f>
        <v>2.6694915254237288</v>
      </c>
      <c r="BG31" s="46">
        <v>317</v>
      </c>
      <c r="BH31" s="45">
        <v>45682</v>
      </c>
      <c r="BI31" s="21">
        <v>1.1000000000000001</v>
      </c>
      <c r="BJ31" s="21">
        <v>-0.85</v>
      </c>
      <c r="BK31" s="21">
        <v>3.55</v>
      </c>
      <c r="BL31" s="21">
        <v>1.77</v>
      </c>
      <c r="BM31" s="21">
        <v>1.63</v>
      </c>
      <c r="BN31" s="21">
        <v>-1.84</v>
      </c>
      <c r="BO31" s="21">
        <v>0.2</v>
      </c>
      <c r="BP31" s="21">
        <v>-1.49</v>
      </c>
      <c r="BQ31" s="21">
        <v>0</v>
      </c>
      <c r="BR31" s="21">
        <v>0.28000000000000003</v>
      </c>
      <c r="BS31" s="47" t="s">
        <v>92</v>
      </c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</row>
    <row r="32" spans="1:119" ht="14.25" customHeight="1" x14ac:dyDescent="0.2">
      <c r="A32" s="17" t="str">
        <f t="shared" si="10"/>
        <v>[b39d1d6e]|PIXEL|WolfnBear|1H</v>
      </c>
      <c r="B32" s="1" t="s">
        <v>28</v>
      </c>
      <c r="C32" s="18">
        <f t="shared" si="11"/>
        <v>0.8</v>
      </c>
      <c r="D32" s="58" t="s">
        <v>93</v>
      </c>
      <c r="E32" s="1" t="s">
        <v>94</v>
      </c>
      <c r="F32" s="1" t="s">
        <v>51</v>
      </c>
      <c r="G32" s="1" t="s">
        <v>52</v>
      </c>
      <c r="H32" s="2">
        <v>4000</v>
      </c>
      <c r="I32" s="40">
        <f t="shared" si="12"/>
        <v>840</v>
      </c>
      <c r="J32" s="2">
        <f t="shared" si="13"/>
        <v>840</v>
      </c>
      <c r="K32" s="2">
        <v>22</v>
      </c>
      <c r="L32" s="19">
        <f t="array" ref="L32">IFERROR(INDEX('Strategy Watchlist'!L:L,MATCH($A32,'Strategy Watchlist'!$A:$A,0)),"Not Found")</f>
        <v>6.7377398720682304</v>
      </c>
      <c r="M32" s="12">
        <f t="array" ref="M32">IFERROR(INDEX('Strategy Watchlist'!M:M,MATCH($A32,'Strategy Watchlist'!$A:$A,0)),"Not Found")</f>
        <v>124</v>
      </c>
      <c r="N32" s="20">
        <f t="array" ref="N32">IFERROR(INDEX('Strategy Watchlist'!N:N,MATCH($A32,'Strategy Watchlist'!$A:$A,0)),"Not Found")</f>
        <v>45833</v>
      </c>
      <c r="O32" s="21">
        <f t="array" ref="O32">IFERROR(INDEX('Strategy Watchlist'!P:P,MATCH($A32,'Strategy Watchlist'!$A:$A,0)),"Not Found")</f>
        <v>1.78</v>
      </c>
      <c r="P32" s="21">
        <f t="array" ref="P32">IFERROR(INDEX('Strategy Watchlist'!Q:Q,MATCH($A32,'Strategy Watchlist'!$A:$A,0)),"Not Found")</f>
        <v>-0.57999999999999996</v>
      </c>
      <c r="Q32" s="21">
        <f t="array" ref="Q32">IFERROR(INDEX('Strategy Watchlist'!R:R,MATCH($A32,'Strategy Watchlist'!$A:$A,0)),"Not Found")</f>
        <v>2.67</v>
      </c>
      <c r="R32" s="21">
        <f t="array" ref="R32">IFERROR(INDEX('Strategy Watchlist'!S:S,MATCH($A32,'Strategy Watchlist'!$A:$A,0)),"Not Found")</f>
        <v>4.07</v>
      </c>
      <c r="S32" s="21">
        <f t="array" ref="S32">IFERROR(INDEX('Strategy Watchlist'!T:T,MATCH($A32,'Strategy Watchlist'!$A:$A,0)),"Not Found")</f>
        <v>2.2999999999999998</v>
      </c>
      <c r="T32" s="21">
        <f t="array" ref="T32">IFERROR(INDEX('Strategy Watchlist'!U:U,MATCH($A32,'Strategy Watchlist'!$A:$A,0)),"Not Found")</f>
        <v>1.05</v>
      </c>
      <c r="U32" s="21">
        <f t="array" ref="U32">IFERROR(INDEX('Strategy Watchlist'!V:V,MATCH($A32,'Strategy Watchlist'!$A:$A,0)),"Not Found")</f>
        <v>-1.1299999999999999</v>
      </c>
      <c r="V32" s="21">
        <f t="array" ref="V32">IFERROR(INDEX('Strategy Watchlist'!W:W,MATCH($A32,'Strategy Watchlist'!$A:$A,0)),"Not Found")</f>
        <v>0.64</v>
      </c>
      <c r="W32" s="21">
        <f t="array" ref="W32">IFERROR(INDEX('Strategy Watchlist'!X:X,MATCH($A32,'Strategy Watchlist'!$A:$A,0)),"Not Found")</f>
        <v>-0.53</v>
      </c>
      <c r="X32" s="21">
        <f t="array" ref="X32">IFERROR(INDEX('Strategy Watchlist'!Y:Y,MATCH($A32,'Strategy Watchlist'!$A:$A,0)),"Not Found")</f>
        <v>-0.16</v>
      </c>
      <c r="Y32" s="22" t="str">
        <f t="array" ref="Y32">IFERROR(INDEX('Strategy Watchlist'!Z:Z,MATCH($A32,'Strategy Watchlist'!$A:$A,0)),"Not Found")</f>
        <v>https://www.tradingview.com/chart/7HMGQSsJ/</v>
      </c>
      <c r="Z32" s="58"/>
      <c r="AA32" s="58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62</v>
      </c>
      <c r="AV32" s="1" t="s">
        <v>95</v>
      </c>
      <c r="AW32" s="1" t="s">
        <v>94</v>
      </c>
      <c r="AX32" s="1" t="s">
        <v>51</v>
      </c>
      <c r="AY32" s="18">
        <v>8.125</v>
      </c>
      <c r="AZ32" s="4">
        <v>124</v>
      </c>
      <c r="BA32" s="1" t="s">
        <v>52</v>
      </c>
      <c r="BB32" s="76">
        <v>45833</v>
      </c>
      <c r="BC32" s="77">
        <v>-0.09</v>
      </c>
      <c r="BD32" s="77">
        <v>2.89</v>
      </c>
      <c r="BE32" s="77">
        <v>4.46</v>
      </c>
      <c r="BF32" s="77">
        <v>2.52</v>
      </c>
      <c r="BG32" s="77">
        <v>1.25</v>
      </c>
      <c r="BH32" s="77">
        <v>-1.1299999999999999</v>
      </c>
      <c r="BI32" s="77">
        <v>0.64</v>
      </c>
      <c r="BJ32" s="77">
        <v>-0.53</v>
      </c>
      <c r="BK32" s="77">
        <v>-0.16</v>
      </c>
      <c r="BL32" s="1" t="s">
        <v>93</v>
      </c>
      <c r="BM32" s="1" t="s">
        <v>96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</row>
    <row r="33" spans="1:119" ht="14.25" customHeight="1" x14ac:dyDescent="0.2">
      <c r="A33" s="39" t="str">
        <f t="shared" si="10"/>
        <v>[8a00ecfa]|ADA|JpTrendForce|1H</v>
      </c>
      <c r="B33" s="78" t="s">
        <v>28</v>
      </c>
      <c r="C33" s="18">
        <f t="shared" si="11"/>
        <v>0.4</v>
      </c>
      <c r="D33" s="3" t="s">
        <v>97</v>
      </c>
      <c r="E33" s="78" t="s">
        <v>98</v>
      </c>
      <c r="F33" s="78" t="s">
        <v>99</v>
      </c>
      <c r="G33" s="78" t="s">
        <v>52</v>
      </c>
      <c r="H33" s="17">
        <v>2000</v>
      </c>
      <c r="I33" s="24">
        <f t="shared" si="12"/>
        <v>420</v>
      </c>
      <c r="J33" s="24">
        <f t="shared" si="13"/>
        <v>420</v>
      </c>
      <c r="K33" s="1">
        <v>25</v>
      </c>
      <c r="L33" s="18">
        <f>38.28/5.19</f>
        <v>7.3757225433526008</v>
      </c>
      <c r="M33" s="4">
        <v>160</v>
      </c>
      <c r="N33" s="79">
        <v>45682</v>
      </c>
      <c r="O33" s="21">
        <f t="array" ref="O33">IFERROR(INDEX('Strategy Watchlist'!P:P,MATCH($A33,'Strategy Watchlist'!$A:$A,0)),"Not Found")</f>
        <v>3.77</v>
      </c>
      <c r="P33" s="3">
        <v>-1.61</v>
      </c>
      <c r="Q33" s="3">
        <v>1.35</v>
      </c>
      <c r="R33" s="3">
        <v>2.58</v>
      </c>
      <c r="S33" s="3">
        <v>3.16</v>
      </c>
      <c r="T33" s="3">
        <v>1.52</v>
      </c>
      <c r="U33" s="3">
        <v>-1.1000000000000001</v>
      </c>
      <c r="V33" s="3">
        <v>-1.24</v>
      </c>
      <c r="W33" s="3">
        <v>0</v>
      </c>
      <c r="X33" s="3">
        <v>0</v>
      </c>
      <c r="Y33" s="80" t="s">
        <v>100</v>
      </c>
      <c r="Z33" s="3"/>
      <c r="AA33" s="3"/>
      <c r="AB33" s="3"/>
      <c r="AC33" s="3"/>
      <c r="AD33" s="3"/>
      <c r="AU33" s="39" t="str">
        <f t="shared" ref="AU33:AU34" si="14">AX33&amp;"|"&amp;AY33&amp;"|"&amp;AZ33&amp;"|"&amp;BA33</f>
        <v>[8a00ecfa]|ADA|JpTrendForce|1H</v>
      </c>
      <c r="AV33" s="78" t="s">
        <v>62</v>
      </c>
      <c r="AW33" s="1"/>
      <c r="AX33" s="3" t="s">
        <v>97</v>
      </c>
      <c r="AY33" s="78" t="s">
        <v>98</v>
      </c>
      <c r="AZ33" s="78" t="s">
        <v>99</v>
      </c>
      <c r="BA33" s="78" t="s">
        <v>52</v>
      </c>
      <c r="BB33" s="18"/>
      <c r="BC33" s="18"/>
      <c r="BD33" s="18"/>
      <c r="BE33" s="18"/>
      <c r="BF33" s="18">
        <f>38.28/5.19</f>
        <v>7.3757225433526008</v>
      </c>
      <c r="BG33" s="4">
        <v>160</v>
      </c>
      <c r="BH33" s="79">
        <v>45682</v>
      </c>
      <c r="BI33" s="3">
        <v>3.77</v>
      </c>
      <c r="BJ33" s="3">
        <v>-1.61</v>
      </c>
      <c r="BK33" s="3">
        <v>1.35</v>
      </c>
      <c r="BL33" s="3">
        <v>2.58</v>
      </c>
      <c r="BM33" s="3">
        <v>3.16</v>
      </c>
      <c r="BN33" s="3">
        <v>1.52</v>
      </c>
      <c r="BO33" s="3">
        <v>-1.1000000000000001</v>
      </c>
      <c r="BP33" s="3">
        <v>-1.24</v>
      </c>
      <c r="BQ33" s="3">
        <v>0</v>
      </c>
      <c r="BR33" s="3">
        <v>0</v>
      </c>
      <c r="BS33" s="80" t="s">
        <v>100</v>
      </c>
      <c r="BT33" s="3"/>
      <c r="BU33" s="3"/>
      <c r="BV33" s="3"/>
      <c r="BW33" s="3"/>
      <c r="BX33" s="3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</row>
    <row r="34" spans="1:119" ht="14.25" customHeight="1" x14ac:dyDescent="0.2">
      <c r="A34" s="39" t="str">
        <f t="shared" si="10"/>
        <v>[fbf06b43]|MNT|Trendhoo|37m</v>
      </c>
      <c r="B34" s="42" t="s">
        <v>28</v>
      </c>
      <c r="C34" s="18">
        <f t="shared" si="11"/>
        <v>0.7</v>
      </c>
      <c r="D34" s="42" t="s">
        <v>101</v>
      </c>
      <c r="E34" s="42" t="s">
        <v>102</v>
      </c>
      <c r="F34" s="42" t="s">
        <v>67</v>
      </c>
      <c r="G34" s="42" t="s">
        <v>103</v>
      </c>
      <c r="H34" s="17">
        <v>3500</v>
      </c>
      <c r="I34" s="24">
        <f t="shared" si="12"/>
        <v>735</v>
      </c>
      <c r="J34" s="24">
        <f t="shared" si="13"/>
        <v>735</v>
      </c>
      <c r="K34" s="1">
        <v>28</v>
      </c>
      <c r="L34" s="43">
        <f>106.85/16.15</f>
        <v>6.6160990712074303</v>
      </c>
      <c r="M34" s="44">
        <v>846</v>
      </c>
      <c r="N34" s="81">
        <v>45863</v>
      </c>
      <c r="O34" s="21">
        <f t="array" ref="O34">IFERROR(INDEX('Strategy Watchlist'!P:P,MATCH($A34,'Strategy Watchlist'!$A:$A,0)),"Not Found")</f>
        <v>2.4900000000000002</v>
      </c>
      <c r="P34" s="21">
        <v>6.22</v>
      </c>
      <c r="Q34" s="21">
        <v>2.4</v>
      </c>
      <c r="R34" s="21">
        <v>14.95</v>
      </c>
      <c r="S34" s="21">
        <v>-0.75</v>
      </c>
      <c r="T34" s="21">
        <v>2.1800000000000002</v>
      </c>
      <c r="U34" s="21">
        <v>-6.96</v>
      </c>
      <c r="V34" s="21">
        <v>-0.73</v>
      </c>
      <c r="W34" s="21">
        <v>-1.92</v>
      </c>
      <c r="X34" s="21">
        <v>6.73</v>
      </c>
      <c r="Y34" s="47" t="s">
        <v>104</v>
      </c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39" t="str">
        <f t="shared" si="14"/>
        <v>[fbf06b43]|MNT|Trendhoo|37m</v>
      </c>
      <c r="AV34" s="42" t="s">
        <v>28</v>
      </c>
      <c r="AW34" s="17">
        <v>0.2</v>
      </c>
      <c r="AX34" s="42" t="s">
        <v>101</v>
      </c>
      <c r="AY34" s="42" t="s">
        <v>102</v>
      </c>
      <c r="AZ34" s="42" t="s">
        <v>67</v>
      </c>
      <c r="BA34" s="42" t="s">
        <v>103</v>
      </c>
      <c r="BB34" s="43"/>
      <c r="BC34" s="43"/>
      <c r="BD34" s="43"/>
      <c r="BE34" s="43"/>
      <c r="BF34" s="43">
        <f>106.85/16.15</f>
        <v>6.6160990712074303</v>
      </c>
      <c r="BG34" s="44">
        <v>846</v>
      </c>
      <c r="BH34" s="81">
        <v>45863</v>
      </c>
      <c r="BI34" s="21">
        <v>2.4900000000000002</v>
      </c>
      <c r="BJ34" s="21">
        <v>6.22</v>
      </c>
      <c r="BK34" s="21">
        <v>2.4</v>
      </c>
      <c r="BL34" s="21">
        <v>14.95</v>
      </c>
      <c r="BM34" s="21">
        <v>-0.75</v>
      </c>
      <c r="BN34" s="21">
        <v>2.1800000000000002</v>
      </c>
      <c r="BO34" s="21">
        <v>-6.96</v>
      </c>
      <c r="BP34" s="21">
        <v>-0.73</v>
      </c>
      <c r="BQ34" s="21">
        <v>-1.92</v>
      </c>
      <c r="BR34" s="21">
        <v>6.73</v>
      </c>
      <c r="BS34" s="47" t="s">
        <v>104</v>
      </c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</row>
    <row r="35" spans="1:119" ht="14.25" customHeight="1" x14ac:dyDescent="0.2">
      <c r="A35" s="17"/>
      <c r="B35" s="1"/>
      <c r="C35" s="1"/>
      <c r="D35" s="18"/>
      <c r="E35" s="1"/>
      <c r="F35" s="1"/>
      <c r="G35" s="1"/>
      <c r="H35" s="2"/>
      <c r="I35" s="18"/>
      <c r="J35" s="2"/>
      <c r="K35" s="1"/>
      <c r="L35" s="19"/>
      <c r="M35" s="24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</row>
    <row r="36" spans="1:119" ht="14.25" customHeight="1" x14ac:dyDescent="0.2">
      <c r="A36" s="17" t="str">
        <f>D36&amp;"|"&amp;E36&amp;"|"&amp;F36&amp;"|"&amp;G36</f>
        <v>5x|BTC|DCA|30m</v>
      </c>
      <c r="B36" s="1" t="s">
        <v>28</v>
      </c>
      <c r="C36" s="1"/>
      <c r="D36" s="18" t="s">
        <v>65</v>
      </c>
      <c r="E36" s="1" t="s">
        <v>73</v>
      </c>
      <c r="F36" s="1" t="s">
        <v>105</v>
      </c>
      <c r="G36" s="1" t="s">
        <v>38</v>
      </c>
      <c r="H36" s="2">
        <v>1071</v>
      </c>
      <c r="I36" s="18">
        <v>5</v>
      </c>
      <c r="J36" s="2">
        <f>H36*I36</f>
        <v>5355</v>
      </c>
      <c r="K36" s="1"/>
      <c r="L36" s="19"/>
      <c r="M36" s="24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ht="14.25" customHeight="1" x14ac:dyDescent="0.2">
      <c r="A37" s="17"/>
      <c r="B37" s="1"/>
      <c r="C37" s="1"/>
      <c r="D37" s="1"/>
      <c r="E37" s="1"/>
      <c r="F37" s="1"/>
      <c r="G37" s="1"/>
      <c r="H37" s="2"/>
      <c r="I37" s="2"/>
      <c r="J37" s="2"/>
      <c r="K37" s="1"/>
      <c r="L37" s="19"/>
      <c r="M37" s="24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38" spans="1:119" ht="14.25" customHeight="1" x14ac:dyDescent="0.2">
      <c r="A38" s="17"/>
      <c r="B38" s="1"/>
      <c r="C38" s="1"/>
      <c r="D38" s="1"/>
      <c r="E38" s="1"/>
      <c r="F38" s="1"/>
      <c r="G38" s="1"/>
      <c r="H38" s="2"/>
      <c r="I38" s="2"/>
      <c r="J38" s="2"/>
      <c r="K38" s="1"/>
      <c r="L38" s="19"/>
      <c r="M38" s="4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</row>
    <row r="39" spans="1:119" ht="14.25" customHeight="1" x14ac:dyDescent="0.2">
      <c r="A39" s="17"/>
      <c r="B39" s="1"/>
      <c r="C39" s="1"/>
      <c r="D39" s="1"/>
      <c r="E39" s="1"/>
      <c r="F39" s="1"/>
      <c r="G39" s="1"/>
      <c r="H39" s="2"/>
      <c r="I39" s="2"/>
      <c r="J39" s="2"/>
      <c r="K39" s="1"/>
      <c r="L39" s="19"/>
      <c r="M39" s="4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</row>
    <row r="40" spans="1:119" ht="14.25" customHeight="1" x14ac:dyDescent="0.2">
      <c r="A40" s="17"/>
      <c r="B40" s="1"/>
      <c r="C40" s="1"/>
      <c r="D40" s="1"/>
      <c r="E40" s="1"/>
      <c r="F40" s="1"/>
      <c r="G40" s="1"/>
      <c r="H40" s="2"/>
      <c r="I40" s="2"/>
      <c r="J40" s="2"/>
      <c r="K40" s="1"/>
      <c r="L40" s="19"/>
      <c r="M40" s="4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</row>
    <row r="41" spans="1:119" ht="14.25" customHeight="1" x14ac:dyDescent="0.2">
      <c r="A41" s="17"/>
      <c r="B41" s="1"/>
      <c r="C41" s="1"/>
      <c r="D41" s="1"/>
      <c r="E41" s="1"/>
      <c r="F41" s="1"/>
      <c r="G41" s="1"/>
      <c r="H41" s="2"/>
      <c r="I41" s="2"/>
      <c r="J41" s="2"/>
      <c r="K41" s="1"/>
      <c r="L41" s="19"/>
      <c r="M41" s="4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2" spans="1:119" ht="14.25" customHeight="1" x14ac:dyDescent="0.2">
      <c r="A42" s="17"/>
      <c r="B42" s="1"/>
      <c r="C42" s="1"/>
      <c r="D42" s="1"/>
      <c r="E42" s="1"/>
      <c r="F42" s="1"/>
      <c r="G42" s="1"/>
      <c r="H42" s="2"/>
      <c r="I42" s="2"/>
      <c r="J42" s="2"/>
      <c r="K42" s="1"/>
      <c r="L42" s="19"/>
      <c r="M42" s="4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</row>
    <row r="43" spans="1:119" ht="14.25" customHeight="1" x14ac:dyDescent="0.2">
      <c r="A43" s="5" t="str">
        <f t="shared" ref="A43:A69" si="15">D43&amp;"|"&amp;E43&amp;"|"&amp;F43&amp;"|"&amp;G43</f>
        <v>|25000|36000|</v>
      </c>
      <c r="B43" s="5" t="s">
        <v>106</v>
      </c>
      <c r="C43" s="5"/>
      <c r="D43" s="5"/>
      <c r="E43" s="5">
        <v>25000</v>
      </c>
      <c r="F43" s="5">
        <v>36000</v>
      </c>
      <c r="G43" s="5"/>
      <c r="H43" s="5"/>
      <c r="I43" s="6"/>
      <c r="J43" s="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</row>
    <row r="44" spans="1:119" ht="14.25" customHeight="1" x14ac:dyDescent="0.2">
      <c r="A44" s="48" t="str">
        <f t="shared" si="15"/>
        <v>[17ab2738]|ARB|stiff Surge|45m</v>
      </c>
      <c r="B44" s="48" t="s">
        <v>28</v>
      </c>
      <c r="C44" s="52">
        <f t="shared" ref="C44:C56" si="16">H44/$F$43</f>
        <v>0.55555555555555558</v>
      </c>
      <c r="D44" s="82" t="s">
        <v>29</v>
      </c>
      <c r="E44" s="82" t="s">
        <v>30</v>
      </c>
      <c r="F44" s="82" t="s">
        <v>31</v>
      </c>
      <c r="G44" s="82" t="s">
        <v>32</v>
      </c>
      <c r="H44" s="53">
        <v>20000</v>
      </c>
      <c r="I44" s="53">
        <f t="shared" ref="I44:I56" si="17">H44*0.21</f>
        <v>4200</v>
      </c>
      <c r="J44" s="53">
        <v>5400</v>
      </c>
      <c r="K44" s="82">
        <v>200</v>
      </c>
      <c r="L44" s="52">
        <f t="array" ref="L44">IFERROR(INDEX('Strategy Watchlist'!L:L,MATCH($A44,'Strategy Watchlist'!$A:$A,0)),"Not Found")</f>
        <v>10.965644171779141</v>
      </c>
      <c r="M44" s="83">
        <f t="array" ref="M44">IFERROR(INDEX('Strategy Watchlist'!M:M,MATCH($A44,'Strategy Watchlist'!$A:$A,0)),"Not Found")</f>
        <v>824</v>
      </c>
      <c r="N44" s="54">
        <f t="array" ref="N44">IFERROR(INDEX('Strategy Watchlist'!N:N,MATCH($A44,'Strategy Watchlist'!$A:$A,0)),"Not Found")</f>
        <v>45689</v>
      </c>
      <c r="O44" s="55">
        <f t="array" ref="O44">IFERROR(INDEX('Strategy Watchlist'!P:P,MATCH($A44,'Strategy Watchlist'!$A:$A,0)),"Not Found")</f>
        <v>-1.7</v>
      </c>
      <c r="P44" s="55">
        <f t="array" ref="P44">IFERROR(INDEX('Strategy Watchlist'!Q:Q,MATCH($A44,'Strategy Watchlist'!$A:$A,0)),"Not Found")</f>
        <v>-6.85</v>
      </c>
      <c r="Q44" s="55">
        <f t="array" ref="Q44">IFERROR(INDEX('Strategy Watchlist'!R:R,MATCH($A44,'Strategy Watchlist'!$A:$A,0)),"Not Found")</f>
        <v>1.99</v>
      </c>
      <c r="R44" s="55">
        <f t="array" ref="R44">IFERROR(INDEX('Strategy Watchlist'!S:S,MATCH($A44,'Strategy Watchlist'!$A:$A,0)),"Not Found")</f>
        <v>6.96</v>
      </c>
      <c r="S44" s="55">
        <f t="array" ref="S44">IFERROR(INDEX('Strategy Watchlist'!T:T,MATCH($A44,'Strategy Watchlist'!$A:$A,0)),"Not Found")</f>
        <v>8.0739999999999998</v>
      </c>
      <c r="T44" s="55">
        <f t="array" ref="T44">IFERROR(INDEX('Strategy Watchlist'!U:U,MATCH($A44,'Strategy Watchlist'!$A:$A,0)),"Not Found")</f>
        <v>11.5</v>
      </c>
      <c r="U44" s="55">
        <f t="array" ref="U44">IFERROR(INDEX('Strategy Watchlist'!V:V,MATCH($A44,'Strategy Watchlist'!$A:$A,0)),"Not Found")</f>
        <v>2.75</v>
      </c>
      <c r="V44" s="55">
        <f t="array" ref="V44">IFERROR(INDEX('Strategy Watchlist'!W:W,MATCH($A44,'Strategy Watchlist'!$A:$A,0)),"Not Found")</f>
        <v>2.57</v>
      </c>
      <c r="W44" s="55">
        <f t="array" ref="W44">IFERROR(INDEX('Strategy Watchlist'!X:X,MATCH($A44,'Strategy Watchlist'!$A:$A,0)),"Not Found")</f>
        <v>6.31</v>
      </c>
      <c r="X44" s="55">
        <f t="array" ref="X44">IFERROR(INDEX('Strategy Watchlist'!Y:Y,MATCH($A44,'Strategy Watchlist'!$A:$A,0)),"Not Found")</f>
        <v>7.91</v>
      </c>
      <c r="Y44" s="56" t="str">
        <f t="array" ref="Y44">IFERROR(INDEX('Strategy Watchlist'!Z:Z,MATCH($A44,'Strategy Watchlist'!$A:$A,0)),"Not Found")</f>
        <v>https://www.tradingview.com/chart/EjQUtmuc/</v>
      </c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</row>
    <row r="45" spans="1:119" ht="14.25" customHeight="1" x14ac:dyDescent="0.2">
      <c r="A45" s="17" t="str">
        <f t="shared" si="15"/>
        <v>|DOGE|MACD|45m</v>
      </c>
      <c r="B45" s="17" t="s">
        <v>28</v>
      </c>
      <c r="C45" s="19">
        <f t="shared" si="16"/>
        <v>0.33333333333333331</v>
      </c>
      <c r="D45" s="17"/>
      <c r="E45" s="17" t="s">
        <v>33</v>
      </c>
      <c r="F45" s="17" t="s">
        <v>34</v>
      </c>
      <c r="G45" s="17" t="s">
        <v>32</v>
      </c>
      <c r="H45" s="24">
        <v>12000</v>
      </c>
      <c r="I45" s="24">
        <f t="shared" si="17"/>
        <v>2520</v>
      </c>
      <c r="J45" s="24">
        <v>4900</v>
      </c>
      <c r="K45" s="39">
        <v>180</v>
      </c>
      <c r="L45" s="19">
        <f t="array" ref="L45">IFERROR(INDEX('Strategy Watchlist'!L:L,MATCH($A45,'Strategy Watchlist'!$A:$A,0)),"Not Found")</f>
        <v>6.8331771321462043</v>
      </c>
      <c r="M45" s="84">
        <f t="array" ref="M45">IFERROR(INDEX('Strategy Watchlist'!M:M,MATCH($A45,'Strategy Watchlist'!$A:$A,0)),"Not Found")</f>
        <v>147</v>
      </c>
      <c r="N45" s="20">
        <f t="array" ref="N45">IFERROR(INDEX('Strategy Watchlist'!N:N,MATCH($A45,'Strategy Watchlist'!$A:$A,0)),"Not Found")</f>
        <v>45662</v>
      </c>
      <c r="O45" s="21">
        <f t="array" ref="O45">IFERROR(INDEX('Strategy Watchlist'!P:P,MATCH($A45,'Strategy Watchlist'!$A:$A,0)),"Not Found")</f>
        <v>-3.88</v>
      </c>
      <c r="P45" s="21">
        <f t="array" ref="P45">IFERROR(INDEX('Strategy Watchlist'!Q:Q,MATCH($A45,'Strategy Watchlist'!$A:$A,0)),"Not Found")</f>
        <v>5.91</v>
      </c>
      <c r="Q45" s="21">
        <f t="array" ref="Q45">IFERROR(INDEX('Strategy Watchlist'!R:R,MATCH($A45,'Strategy Watchlist'!$A:$A,0)),"Not Found")</f>
        <v>-0.08</v>
      </c>
      <c r="R45" s="21">
        <f t="array" ref="R45">IFERROR(INDEX('Strategy Watchlist'!S:S,MATCH($A45,'Strategy Watchlist'!$A:$A,0)),"Not Found")</f>
        <v>4.72</v>
      </c>
      <c r="S45" s="21">
        <f t="array" ref="S45">IFERROR(INDEX('Strategy Watchlist'!T:T,MATCH($A45,'Strategy Watchlist'!$A:$A,0)),"Not Found")</f>
        <v>8.93</v>
      </c>
      <c r="T45" s="21">
        <f t="array" ref="T45">IFERROR(INDEX('Strategy Watchlist'!U:U,MATCH($A45,'Strategy Watchlist'!$A:$A,0)),"Not Found")</f>
        <v>2.69</v>
      </c>
      <c r="U45" s="21">
        <f t="array" ref="U45">IFERROR(INDEX('Strategy Watchlist'!V:V,MATCH($A45,'Strategy Watchlist'!$A:$A,0)),"Not Found")</f>
        <v>2.04</v>
      </c>
      <c r="V45" s="21">
        <f t="array" ref="V45">IFERROR(INDEX('Strategy Watchlist'!W:W,MATCH($A45,'Strategy Watchlist'!$A:$A,0)),"Not Found")</f>
        <v>5.31</v>
      </c>
      <c r="W45" s="21">
        <f t="array" ref="W45">IFERROR(INDEX('Strategy Watchlist'!X:X,MATCH($A45,'Strategy Watchlist'!$A:$A,0)),"Not Found")</f>
        <v>0.72</v>
      </c>
      <c r="X45" s="21">
        <f t="array" ref="X45">IFERROR(INDEX('Strategy Watchlist'!Y:Y,MATCH($A45,'Strategy Watchlist'!$A:$A,0)),"Not Found")</f>
        <v>3.27</v>
      </c>
      <c r="Y45" s="22" t="str">
        <f t="array" ref="Y45">IFERROR(INDEX('Strategy Watchlist'!Z:Z,MATCH($A45,'Strategy Watchlist'!$A:$A,0)),"Not Found")</f>
        <v>https://www.tradingview.com/chart/Dvd9vGt5/</v>
      </c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</row>
    <row r="46" spans="1:119" ht="14.25" customHeight="1" x14ac:dyDescent="0.2">
      <c r="A46" s="17" t="str">
        <f t="shared" si="15"/>
        <v>[a9aeb4cc]|ETH|McGinley|90m</v>
      </c>
      <c r="B46" s="1" t="s">
        <v>28</v>
      </c>
      <c r="C46" s="19">
        <f t="shared" si="16"/>
        <v>0.41666666666666669</v>
      </c>
      <c r="D46" s="1" t="s">
        <v>45</v>
      </c>
      <c r="E46" s="1" t="s">
        <v>46</v>
      </c>
      <c r="F46" s="1" t="s">
        <v>47</v>
      </c>
      <c r="G46" s="1" t="s">
        <v>48</v>
      </c>
      <c r="H46" s="2">
        <v>15000</v>
      </c>
      <c r="I46" s="2">
        <f t="shared" si="17"/>
        <v>3150</v>
      </c>
      <c r="J46" s="2">
        <v>6030</v>
      </c>
      <c r="K46" s="1">
        <v>150</v>
      </c>
      <c r="L46" s="19">
        <f t="array" ref="L46">IFERROR(INDEX('Strategy Watchlist'!L:L,MATCH($A46,'Strategy Watchlist'!$A:$A,0)),"Not Found")</f>
        <v>7.4173228346456694</v>
      </c>
      <c r="M46" s="85">
        <f t="array" ref="M46">IFERROR(INDEX('Strategy Watchlist'!M:M,MATCH($A46,'Strategy Watchlist'!$A:$A,0)),"Not Found")</f>
        <v>72</v>
      </c>
      <c r="N46" s="20">
        <f t="array" ref="N46">IFERROR(INDEX('Strategy Watchlist'!N:N,MATCH($A46,'Strategy Watchlist'!$A:$A,0)),"Not Found")</f>
        <v>45772</v>
      </c>
      <c r="O46" s="21">
        <f t="array" ref="O46">IFERROR(INDEX('Strategy Watchlist'!P:P,MATCH($A46,'Strategy Watchlist'!$A:$A,0)),"Not Found")</f>
        <v>-0.43</v>
      </c>
      <c r="P46" s="21">
        <f t="array" ref="P46">IFERROR(INDEX('Strategy Watchlist'!Q:Q,MATCH($A46,'Strategy Watchlist'!$A:$A,0)),"Not Found")</f>
        <v>-0.39</v>
      </c>
      <c r="Q46" s="21">
        <f t="array" ref="Q46">IFERROR(INDEX('Strategy Watchlist'!R:R,MATCH($A46,'Strategy Watchlist'!$A:$A,0)),"Not Found")</f>
        <v>2.4500000000000002</v>
      </c>
      <c r="R46" s="21">
        <f t="array" ref="R46">IFERROR(INDEX('Strategy Watchlist'!S:S,MATCH($A46,'Strategy Watchlist'!$A:$A,0)),"Not Found")</f>
        <v>-0.24</v>
      </c>
      <c r="S46" s="21">
        <f t="array" ref="S46">IFERROR(INDEX('Strategy Watchlist'!T:T,MATCH($A46,'Strategy Watchlist'!$A:$A,0)),"Not Found")</f>
        <v>0.53</v>
      </c>
      <c r="T46" s="21">
        <f t="array" ref="T46">IFERROR(INDEX('Strategy Watchlist'!U:U,MATCH($A46,'Strategy Watchlist'!$A:$A,0)),"Not Found")</f>
        <v>2.38</v>
      </c>
      <c r="U46" s="21">
        <f t="array" ref="U46">IFERROR(INDEX('Strategy Watchlist'!V:V,MATCH($A46,'Strategy Watchlist'!$A:$A,0)),"Not Found")</f>
        <v>0.94</v>
      </c>
      <c r="V46" s="21">
        <f t="array" ref="V46">IFERROR(INDEX('Strategy Watchlist'!W:W,MATCH($A46,'Strategy Watchlist'!$A:$A,0)),"Not Found")</f>
        <v>0</v>
      </c>
      <c r="W46" s="21">
        <f t="array" ref="W46">IFERROR(INDEX('Strategy Watchlist'!X:X,MATCH($A46,'Strategy Watchlist'!$A:$A,0)),"Not Found")</f>
        <v>2.77</v>
      </c>
      <c r="X46" s="21">
        <f t="array" ref="X46">IFERROR(INDEX('Strategy Watchlist'!Y:Y,MATCH($A46,'Strategy Watchlist'!$A:$A,0)),"Not Found")</f>
        <v>-0.13</v>
      </c>
      <c r="Y46" s="22" t="str">
        <f t="array" ref="Y46">IFERROR(INDEX('Strategy Watchlist'!Z:Z,MATCH($A46,'Strategy Watchlist'!$A:$A,0)),"Not Found")</f>
        <v>https://www.tradingview.com/chart/dPRT8fSK/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</row>
    <row r="47" spans="1:119" ht="14.25" customHeight="1" x14ac:dyDescent="0.2">
      <c r="A47" s="17" t="str">
        <f t="shared" si="15"/>
        <v>[f80d2657]|PePe|JP Trend|30m</v>
      </c>
      <c r="B47" s="17" t="s">
        <v>28</v>
      </c>
      <c r="C47" s="19">
        <f t="shared" si="16"/>
        <v>0.41666666666666669</v>
      </c>
      <c r="D47" s="17" t="s">
        <v>39</v>
      </c>
      <c r="E47" s="17" t="s">
        <v>40</v>
      </c>
      <c r="F47" s="17" t="s">
        <v>41</v>
      </c>
      <c r="G47" s="23" t="s">
        <v>38</v>
      </c>
      <c r="H47" s="24">
        <v>15000</v>
      </c>
      <c r="I47" s="24">
        <f t="shared" si="17"/>
        <v>3150</v>
      </c>
      <c r="J47" s="24">
        <v>3380</v>
      </c>
      <c r="K47" s="17">
        <v>150</v>
      </c>
      <c r="L47" s="19">
        <f t="array" ref="L47">IFERROR(INDEX('Strategy Watchlist'!L:L,MATCH($A47,'Strategy Watchlist'!$A:$A,0)),"Not Found")</f>
        <v>11.341645885286782</v>
      </c>
      <c r="M47" s="84">
        <f t="array" ref="M47">IFERROR(INDEX('Strategy Watchlist'!M:M,MATCH($A47,'Strategy Watchlist'!$A:$A,0)),"Not Found")</f>
        <v>302</v>
      </c>
      <c r="N47" s="20">
        <f t="array" ref="N47">IFERROR(INDEX('Strategy Watchlist'!N:N,MATCH($A47,'Strategy Watchlist'!$A:$A,0)),"Not Found")</f>
        <v>45662</v>
      </c>
      <c r="O47" s="21">
        <f t="array" ref="O47">IFERROR(INDEX('Strategy Watchlist'!P:P,MATCH($A47,'Strategy Watchlist'!$A:$A,0)),"Not Found")</f>
        <v>3.05</v>
      </c>
      <c r="P47" s="21">
        <f t="array" ref="P47">IFERROR(INDEX('Strategy Watchlist'!Q:Q,MATCH($A47,'Strategy Watchlist'!$A:$A,0)),"Not Found")</f>
        <v>1.52</v>
      </c>
      <c r="Q47" s="21">
        <f t="array" ref="Q47">IFERROR(INDEX('Strategy Watchlist'!R:R,MATCH($A47,'Strategy Watchlist'!$A:$A,0)),"Not Found")</f>
        <v>-3.15</v>
      </c>
      <c r="R47" s="21">
        <f t="array" ref="R47">IFERROR(INDEX('Strategy Watchlist'!S:S,MATCH($A47,'Strategy Watchlist'!$A:$A,0)),"Not Found")</f>
        <v>2.2999999999999998</v>
      </c>
      <c r="S47" s="21">
        <f t="array" ref="S47">IFERROR(INDEX('Strategy Watchlist'!T:T,MATCH($A47,'Strategy Watchlist'!$A:$A,0)),"Not Found")</f>
        <v>-0.12</v>
      </c>
      <c r="T47" s="21">
        <f t="array" ref="T47">IFERROR(INDEX('Strategy Watchlist'!U:U,MATCH($A47,'Strategy Watchlist'!$A:$A,0)),"Not Found")</f>
        <v>5.69</v>
      </c>
      <c r="U47" s="21">
        <f t="array" ref="U47">IFERROR(INDEX('Strategy Watchlist'!V:V,MATCH($A47,'Strategy Watchlist'!$A:$A,0)),"Not Found")</f>
        <v>-1.33</v>
      </c>
      <c r="V47" s="21">
        <f t="array" ref="V47">IFERROR(INDEX('Strategy Watchlist'!W:W,MATCH($A47,'Strategy Watchlist'!$A:$A,0)),"Not Found")</f>
        <v>2.12</v>
      </c>
      <c r="W47" s="21">
        <f t="array" ref="W47">IFERROR(INDEX('Strategy Watchlist'!X:X,MATCH($A47,'Strategy Watchlist'!$A:$A,0)),"Not Found")</f>
        <v>3.07</v>
      </c>
      <c r="X47" s="21">
        <f t="array" ref="X47">IFERROR(INDEX('Strategy Watchlist'!Y:Y,MATCH($A47,'Strategy Watchlist'!$A:$A,0)),"Not Found")</f>
        <v>3.75</v>
      </c>
      <c r="Y47" s="22" t="str">
        <f t="array" ref="Y47">IFERROR(INDEX('Strategy Watchlist'!Z:Z,MATCH($A47,'Strategy Watchlist'!$A:$A,0)),"Not Found")</f>
        <v>https://www.tradingview.com/chart/uNPZ2spK/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</row>
    <row r="48" spans="1:119" ht="14.25" customHeight="1" x14ac:dyDescent="0.2">
      <c r="A48" s="17" t="str">
        <f t="shared" si="15"/>
        <v>|LINK|McGinley|45m</v>
      </c>
      <c r="B48" s="17" t="s">
        <v>28</v>
      </c>
      <c r="C48" s="19">
        <f t="shared" si="16"/>
        <v>0.5</v>
      </c>
      <c r="D48" s="17"/>
      <c r="E48" s="17" t="s">
        <v>25</v>
      </c>
      <c r="F48" s="17" t="s">
        <v>47</v>
      </c>
      <c r="G48" s="17" t="s">
        <v>32</v>
      </c>
      <c r="H48" s="24">
        <v>18000</v>
      </c>
      <c r="I48" s="24">
        <f t="shared" si="17"/>
        <v>3780</v>
      </c>
      <c r="J48" s="24">
        <v>4000</v>
      </c>
      <c r="K48" s="17">
        <v>160</v>
      </c>
      <c r="L48" s="19">
        <f t="array" ref="L48">IFERROR(INDEX('Strategy Watchlist'!L:L,MATCH($A48,'Strategy Watchlist'!$A:$A,0)),"Not Found")</f>
        <v>7.7349823321554769</v>
      </c>
      <c r="M48" s="84">
        <f t="array" ref="M48">IFERROR(INDEX('Strategy Watchlist'!M:M,MATCH($A48,'Strategy Watchlist'!$A:$A,0)),"Not Found")</f>
        <v>147</v>
      </c>
      <c r="N48" s="20">
        <f t="array" ref="N48">IFERROR(INDEX('Strategy Watchlist'!N:N,MATCH($A48,'Strategy Watchlist'!$A:$A,0)),"Not Found")</f>
        <v>45802</v>
      </c>
      <c r="O48" s="21">
        <f t="array" ref="O48">IFERROR(INDEX('Strategy Watchlist'!P:P,MATCH($A48,'Strategy Watchlist'!$A:$A,0)),"Not Found")</f>
        <v>-0.55000000000000004</v>
      </c>
      <c r="P48" s="21">
        <f t="array" ref="P48">IFERROR(INDEX('Strategy Watchlist'!Q:Q,MATCH($A48,'Strategy Watchlist'!$A:$A,0)),"Not Found")</f>
        <v>-1.1000000000000001</v>
      </c>
      <c r="Q48" s="21">
        <f t="array" ref="Q48">IFERROR(INDEX('Strategy Watchlist'!R:R,MATCH($A48,'Strategy Watchlist'!$A:$A,0)),"Not Found")</f>
        <v>2.98</v>
      </c>
      <c r="R48" s="21">
        <f t="array" ref="R48">IFERROR(INDEX('Strategy Watchlist'!S:S,MATCH($A48,'Strategy Watchlist'!$A:$A,0)),"Not Found")</f>
        <v>2.97</v>
      </c>
      <c r="S48" s="21">
        <f t="array" ref="S48">IFERROR(INDEX('Strategy Watchlist'!T:T,MATCH($A48,'Strategy Watchlist'!$A:$A,0)),"Not Found")</f>
        <v>2.9</v>
      </c>
      <c r="T48" s="21">
        <f t="array" ref="T48">IFERROR(INDEX('Strategy Watchlist'!U:U,MATCH($A48,'Strategy Watchlist'!$A:$A,0)),"Not Found")</f>
        <v>2</v>
      </c>
      <c r="U48" s="21">
        <f t="array" ref="U48">IFERROR(INDEX('Strategy Watchlist'!V:V,MATCH($A48,'Strategy Watchlist'!$A:$A,0)),"Not Found")</f>
        <v>2.2400000000000002</v>
      </c>
      <c r="V48" s="21">
        <f t="array" ref="V48">IFERROR(INDEX('Strategy Watchlist'!W:W,MATCH($A48,'Strategy Watchlist'!$A:$A,0)),"Not Found")</f>
        <v>0.79</v>
      </c>
      <c r="W48" s="21">
        <f t="array" ref="W48">IFERROR(INDEX('Strategy Watchlist'!X:X,MATCH($A48,'Strategy Watchlist'!$A:$A,0)),"Not Found")</f>
        <v>0.69</v>
      </c>
      <c r="X48" s="21">
        <f t="array" ref="X48">IFERROR(INDEX('Strategy Watchlist'!Y:Y,MATCH($A48,'Strategy Watchlist'!$A:$A,0)),"Not Found")</f>
        <v>-0.61</v>
      </c>
      <c r="Y48" s="22" t="str">
        <f t="array" ref="Y48">IFERROR(INDEX('Strategy Watchlist'!Z:Z,MATCH($A48,'Strategy Watchlist'!$A:$A,0)),"Not Found")</f>
        <v>https://www.tradingview.com/chart/elrmSYee/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</row>
    <row r="49" spans="1:119" ht="14.25" customHeight="1" x14ac:dyDescent="0.2">
      <c r="A49" s="17" t="str">
        <f t="shared" si="15"/>
        <v>[e92283ec]|HBAR|Heiken-Ashi|30m</v>
      </c>
      <c r="B49" s="17" t="s">
        <v>28</v>
      </c>
      <c r="C49" s="19">
        <f t="shared" si="16"/>
        <v>0.44444444444444442</v>
      </c>
      <c r="D49" s="17" t="s">
        <v>35</v>
      </c>
      <c r="E49" s="17" t="s">
        <v>36</v>
      </c>
      <c r="F49" s="17" t="s">
        <v>37</v>
      </c>
      <c r="G49" s="23" t="s">
        <v>38</v>
      </c>
      <c r="H49" s="24">
        <v>16000</v>
      </c>
      <c r="I49" s="24">
        <f t="shared" si="17"/>
        <v>3360</v>
      </c>
      <c r="J49" s="24">
        <v>5320</v>
      </c>
      <c r="K49" s="17">
        <v>180</v>
      </c>
      <c r="L49" s="19">
        <f t="array" ref="L49">IFERROR(INDEX('Strategy Watchlist'!L:L,MATCH($A49,'Strategy Watchlist'!$A:$A,0)),"Not Found")</f>
        <v>6.7744000000000009</v>
      </c>
      <c r="M49" s="84">
        <f t="array" ref="M49">IFERROR(INDEX('Strategy Watchlist'!M:M,MATCH($A49,'Strategy Watchlist'!$A:$A,0)),"Not Found")</f>
        <v>224</v>
      </c>
      <c r="N49" s="20">
        <f t="array" ref="N49">IFERROR(INDEX('Strategy Watchlist'!N:N,MATCH($A49,'Strategy Watchlist'!$A:$A,0)),"Not Found")</f>
        <v>45833</v>
      </c>
      <c r="O49" s="21">
        <f t="array" ref="O49">IFERROR(INDEX('Strategy Watchlist'!P:P,MATCH($A49,'Strategy Watchlist'!$A:$A,0)),"Not Found")</f>
        <v>1.01</v>
      </c>
      <c r="P49" s="21">
        <f t="array" ref="P49">IFERROR(INDEX('Strategy Watchlist'!Q:Q,MATCH($A49,'Strategy Watchlist'!$A:$A,0)),"Not Found")</f>
        <v>-1.1499999999999999</v>
      </c>
      <c r="Q49" s="21">
        <f t="array" ref="Q49">IFERROR(INDEX('Strategy Watchlist'!R:R,MATCH($A49,'Strategy Watchlist'!$A:$A,0)),"Not Found")</f>
        <v>0.83</v>
      </c>
      <c r="R49" s="21">
        <f t="array" ref="R49">IFERROR(INDEX('Strategy Watchlist'!S:S,MATCH($A49,'Strategy Watchlist'!$A:$A,0)),"Not Found")</f>
        <v>1.52</v>
      </c>
      <c r="S49" s="21">
        <f t="array" ref="S49">IFERROR(INDEX('Strategy Watchlist'!T:T,MATCH($A49,'Strategy Watchlist'!$A:$A,0)),"Not Found")</f>
        <v>-0.03</v>
      </c>
      <c r="T49" s="21">
        <f t="array" ref="T49">IFERROR(INDEX('Strategy Watchlist'!U:U,MATCH($A49,'Strategy Watchlist'!$A:$A,0)),"Not Found")</f>
        <v>4.38</v>
      </c>
      <c r="U49" s="21">
        <f t="array" ref="U49">IFERROR(INDEX('Strategy Watchlist'!V:V,MATCH($A49,'Strategy Watchlist'!$A:$A,0)),"Not Found")</f>
        <v>1.95</v>
      </c>
      <c r="V49" s="21">
        <f t="array" ref="V49">IFERROR(INDEX('Strategy Watchlist'!W:W,MATCH($A49,'Strategy Watchlist'!$A:$A,0)),"Not Found")</f>
        <v>1.98</v>
      </c>
      <c r="W49" s="21">
        <f t="array" ref="W49">IFERROR(INDEX('Strategy Watchlist'!X:X,MATCH($A49,'Strategy Watchlist'!$A:$A,0)),"Not Found")</f>
        <v>4.59</v>
      </c>
      <c r="X49" s="21">
        <f t="array" ref="X49">IFERROR(INDEX('Strategy Watchlist'!Y:Y,MATCH($A49,'Strategy Watchlist'!$A:$A,0)),"Not Found")</f>
        <v>-1.3</v>
      </c>
      <c r="Y49" s="22" t="str">
        <f t="array" ref="Y49">IFERROR(INDEX('Strategy Watchlist'!Z:Z,MATCH($A49,'Strategy Watchlist'!$A:$A,0)),"Not Found")</f>
        <v>https://www.tradingview.com/chart/ygHXwF84/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</row>
    <row r="50" spans="1:119" ht="14.25" customHeight="1" x14ac:dyDescent="0.2">
      <c r="A50" s="17" t="str">
        <f t="shared" si="15"/>
        <v>[65caeaa0]|ROSE|WolfnBear|1H</v>
      </c>
      <c r="B50" s="1" t="s">
        <v>28</v>
      </c>
      <c r="C50" s="19">
        <f t="shared" si="16"/>
        <v>0.55555555555555558</v>
      </c>
      <c r="D50" s="1" t="s">
        <v>49</v>
      </c>
      <c r="E50" s="1" t="s">
        <v>50</v>
      </c>
      <c r="F50" s="1" t="s">
        <v>51</v>
      </c>
      <c r="G50" s="1" t="s">
        <v>52</v>
      </c>
      <c r="H50" s="2">
        <v>20000</v>
      </c>
      <c r="I50" s="24">
        <f t="shared" si="17"/>
        <v>4200</v>
      </c>
      <c r="J50" s="2">
        <f>I50</f>
        <v>4200</v>
      </c>
      <c r="K50" s="1">
        <v>200</v>
      </c>
      <c r="L50" s="19">
        <f t="array" ref="L50">IFERROR(INDEX('Strategy Watchlist'!L:L,MATCH($A50,'Strategy Watchlist'!$A:$A,0)),"Not Found")</f>
        <v>9.1257485029940124</v>
      </c>
      <c r="M50" s="12">
        <f t="array" ref="M50">IFERROR(INDEX('Strategy Watchlist'!M:M,MATCH($A50,'Strategy Watchlist'!$A:$A,0)),"Not Found")</f>
        <v>172</v>
      </c>
      <c r="N50" s="20">
        <f t="array" ref="N50">IFERROR(INDEX('Strategy Watchlist'!N:N,MATCH($A50,'Strategy Watchlist'!$A:$A,0)),"Not Found")</f>
        <v>45682</v>
      </c>
      <c r="O50" s="21">
        <f t="array" ref="O50">IFERROR(INDEX('Strategy Watchlist'!P:P,MATCH($A50,'Strategy Watchlist'!$A:$A,0)),"Not Found")</f>
        <v>1.04</v>
      </c>
      <c r="P50" s="21">
        <f t="array" ref="P50">IFERROR(INDEX('Strategy Watchlist'!Q:Q,MATCH($A50,'Strategy Watchlist'!$A:$A,0)),"Not Found")</f>
        <v>2.39</v>
      </c>
      <c r="Q50" s="21">
        <f t="array" ref="Q50">IFERROR(INDEX('Strategy Watchlist'!R:R,MATCH($A50,'Strategy Watchlist'!$A:$A,0)),"Not Found")</f>
        <v>0.38</v>
      </c>
      <c r="R50" s="21">
        <f t="array" ref="R50">IFERROR(INDEX('Strategy Watchlist'!S:S,MATCH($A50,'Strategy Watchlist'!$A:$A,0)),"Not Found")</f>
        <v>1.76</v>
      </c>
      <c r="S50" s="21">
        <f t="array" ref="S50">IFERROR(INDEX('Strategy Watchlist'!T:T,MATCH($A50,'Strategy Watchlist'!$A:$A,0)),"Not Found")</f>
        <v>0.72</v>
      </c>
      <c r="T50" s="21">
        <f t="array" ref="T50">IFERROR(INDEX('Strategy Watchlist'!U:U,MATCH($A50,'Strategy Watchlist'!$A:$A,0)),"Not Found")</f>
        <v>-0.84</v>
      </c>
      <c r="U50" s="21">
        <f t="array" ref="U50">IFERROR(INDEX('Strategy Watchlist'!V:V,MATCH($A50,'Strategy Watchlist'!$A:$A,0)),"Not Found")</f>
        <v>-0.24</v>
      </c>
      <c r="V50" s="21">
        <f t="array" ref="V50">IFERROR(INDEX('Strategy Watchlist'!W:W,MATCH($A50,'Strategy Watchlist'!$A:$A,0)),"Not Found")</f>
        <v>-1.19</v>
      </c>
      <c r="W50" s="21">
        <f t="array" ref="W50">IFERROR(INDEX('Strategy Watchlist'!X:X,MATCH($A50,'Strategy Watchlist'!$A:$A,0)),"Not Found")</f>
        <v>0.18</v>
      </c>
      <c r="X50" s="21">
        <f t="array" ref="X50">IFERROR(INDEX('Strategy Watchlist'!Y:Y,MATCH($A50,'Strategy Watchlist'!$A:$A,0)),"Not Found")</f>
        <v>2.34</v>
      </c>
      <c r="Y50" s="22" t="str">
        <f t="array" ref="Y50">IFERROR(INDEX('Strategy Watchlist'!Z:Z,MATCH($A50,'Strategy Watchlist'!$A:$A,0)),"Not Found")</f>
        <v>https://www.tradingview.com/chart/p2Bvj1LX/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</row>
    <row r="51" spans="1:119" ht="14.25" customHeight="1" x14ac:dyDescent="0.2">
      <c r="A51" s="17" t="str">
        <f t="shared" si="15"/>
        <v>|APE|precisionTrend|30m</v>
      </c>
      <c r="B51" s="1" t="s">
        <v>28</v>
      </c>
      <c r="C51" s="19">
        <f t="shared" si="16"/>
        <v>0.44444444444444442</v>
      </c>
      <c r="D51" s="1"/>
      <c r="E51" s="1" t="s">
        <v>53</v>
      </c>
      <c r="F51" s="1" t="s">
        <v>54</v>
      </c>
      <c r="G51" s="1" t="s">
        <v>38</v>
      </c>
      <c r="H51" s="2">
        <v>16000</v>
      </c>
      <c r="I51" s="24">
        <f t="shared" si="17"/>
        <v>3360</v>
      </c>
      <c r="J51" s="2">
        <v>660</v>
      </c>
      <c r="K51" s="1">
        <v>130</v>
      </c>
      <c r="L51" s="19">
        <f t="array" ref="L51">IFERROR(INDEX('Strategy Watchlist'!L:L,MATCH($A51,'Strategy Watchlist'!$A:$A,0)),"Not Found")</f>
        <v>4.1660424469413231</v>
      </c>
      <c r="M51" s="12">
        <f t="array" ref="M51">IFERROR(INDEX('Strategy Watchlist'!M:M,MATCH($A51,'Strategy Watchlist'!$A:$A,0)),"Not Found")</f>
        <v>278</v>
      </c>
      <c r="N51" s="20">
        <f t="array" ref="N51">IFERROR(INDEX('Strategy Watchlist'!N:N,MATCH($A51,'Strategy Watchlist'!$A:$A,0)),"Not Found")</f>
        <v>45778</v>
      </c>
      <c r="O51" s="21">
        <f t="array" ref="O51">IFERROR(INDEX('Strategy Watchlist'!P:P,MATCH($A51,'Strategy Watchlist'!$A:$A,0)),"Not Found")</f>
        <v>-0.99</v>
      </c>
      <c r="P51" s="21">
        <f t="array" ref="P51">IFERROR(INDEX('Strategy Watchlist'!Q:Q,MATCH($A51,'Strategy Watchlist'!$A:$A,0)),"Not Found")</f>
        <v>3</v>
      </c>
      <c r="Q51" s="21">
        <f t="array" ref="Q51">IFERROR(INDEX('Strategy Watchlist'!R:R,MATCH($A51,'Strategy Watchlist'!$A:$A,0)),"Not Found")</f>
        <v>1.66</v>
      </c>
      <c r="R51" s="21">
        <f t="array" ref="R51">IFERROR(INDEX('Strategy Watchlist'!S:S,MATCH($A51,'Strategy Watchlist'!$A:$A,0)),"Not Found")</f>
        <v>-2.79</v>
      </c>
      <c r="S51" s="21">
        <f t="array" ref="S51">IFERROR(INDEX('Strategy Watchlist'!T:T,MATCH($A51,'Strategy Watchlist'!$A:$A,0)),"Not Found")</f>
        <v>0.63</v>
      </c>
      <c r="T51" s="21">
        <f t="array" ref="T51">IFERROR(INDEX('Strategy Watchlist'!U:U,MATCH($A51,'Strategy Watchlist'!$A:$A,0)),"Not Found")</f>
        <v>6.17</v>
      </c>
      <c r="U51" s="21">
        <f t="array" ref="U51">IFERROR(INDEX('Strategy Watchlist'!V:V,MATCH($A51,'Strategy Watchlist'!$A:$A,0)),"Not Found")</f>
        <v>3.56</v>
      </c>
      <c r="V51" s="21">
        <f t="array" ref="V51">IFERROR(INDEX('Strategy Watchlist'!W:W,MATCH($A51,'Strategy Watchlist'!$A:$A,0)),"Not Found")</f>
        <v>0.87</v>
      </c>
      <c r="W51" s="21">
        <f t="array" ref="W51">IFERROR(INDEX('Strategy Watchlist'!X:X,MATCH($A51,'Strategy Watchlist'!$A:$A,0)),"Not Found")</f>
        <v>1.73</v>
      </c>
      <c r="X51" s="21">
        <f t="array" ref="X51">IFERROR(INDEX('Strategy Watchlist'!Y:Y,MATCH($A51,'Strategy Watchlist'!$A:$A,0)),"Not Found")</f>
        <v>3.54</v>
      </c>
      <c r="Y51" s="22" t="str">
        <f t="array" ref="Y51">IFERROR(INDEX('Strategy Watchlist'!Z:Z,MATCH($A51,'Strategy Watchlist'!$A:$A,0)),"Not Found")</f>
        <v>https://www.tradingview.com/chart/oDhEAePi/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</row>
    <row r="52" spans="1:119" ht="14.25" customHeight="1" x14ac:dyDescent="0.2">
      <c r="A52" s="17" t="str">
        <f t="shared" si="15"/>
        <v>[3111f1fd]|NEAR|Stiff Surge|1H</v>
      </c>
      <c r="B52" s="1" t="s">
        <v>28</v>
      </c>
      <c r="C52" s="19">
        <f t="shared" si="16"/>
        <v>0.41666666666666669</v>
      </c>
      <c r="D52" s="1" t="s">
        <v>56</v>
      </c>
      <c r="E52" s="1" t="s">
        <v>57</v>
      </c>
      <c r="F52" s="1" t="s">
        <v>58</v>
      </c>
      <c r="G52" s="1" t="s">
        <v>52</v>
      </c>
      <c r="H52" s="2">
        <v>15000</v>
      </c>
      <c r="I52" s="24">
        <f t="shared" si="17"/>
        <v>3150</v>
      </c>
      <c r="J52" s="2">
        <v>774.82</v>
      </c>
      <c r="K52" s="1">
        <v>150</v>
      </c>
      <c r="L52" s="19">
        <f t="array" ref="L52">IFERROR(INDEX('Strategy Watchlist'!L:L,MATCH($A52,'Strategy Watchlist'!$A:$A,0)),"Not Found")</f>
        <v>3.1660516605166054</v>
      </c>
      <c r="M52" s="12">
        <f t="array" ref="M52">IFERROR(INDEX('Strategy Watchlist'!M:M,MATCH($A52,'Strategy Watchlist'!$A:$A,0)),"Not Found")</f>
        <v>237</v>
      </c>
      <c r="N52" s="20">
        <f t="array" ref="N52">IFERROR(INDEX('Strategy Watchlist'!N:N,MATCH($A52,'Strategy Watchlist'!$A:$A,0)),"Not Found")</f>
        <v>45717</v>
      </c>
      <c r="O52" s="21">
        <f t="array" ref="O52">IFERROR(INDEX('Strategy Watchlist'!P:P,MATCH($A52,'Strategy Watchlist'!$A:$A,0)),"Not Found")</f>
        <v>-1.39</v>
      </c>
      <c r="P52" s="21">
        <f t="array" ref="P52">IFERROR(INDEX('Strategy Watchlist'!Q:Q,MATCH($A52,'Strategy Watchlist'!$A:$A,0)),"Not Found")</f>
        <v>0.56000000000000005</v>
      </c>
      <c r="Q52" s="21">
        <f t="array" ref="Q52">IFERROR(INDEX('Strategy Watchlist'!R:R,MATCH($A52,'Strategy Watchlist'!$A:$A,0)),"Not Found")</f>
        <v>-0.43</v>
      </c>
      <c r="R52" s="21">
        <f t="array" ref="R52">IFERROR(INDEX('Strategy Watchlist'!S:S,MATCH($A52,'Strategy Watchlist'!$A:$A,0)),"Not Found")</f>
        <v>-0.45</v>
      </c>
      <c r="S52" s="21">
        <f t="array" ref="S52">IFERROR(INDEX('Strategy Watchlist'!T:T,MATCH($A52,'Strategy Watchlist'!$A:$A,0)),"Not Found")</f>
        <v>4.99</v>
      </c>
      <c r="T52" s="21">
        <f t="array" ref="T52">IFERROR(INDEX('Strategy Watchlist'!U:U,MATCH($A52,'Strategy Watchlist'!$A:$A,0)),"Not Found")</f>
        <v>4.37</v>
      </c>
      <c r="U52" s="21">
        <f t="array" ref="U52">IFERROR(INDEX('Strategy Watchlist'!V:V,MATCH($A52,'Strategy Watchlist'!$A:$A,0)),"Not Found")</f>
        <v>-1.47</v>
      </c>
      <c r="V52" s="21">
        <f t="array" ref="V52">IFERROR(INDEX('Strategy Watchlist'!W:W,MATCH($A52,'Strategy Watchlist'!$A:$A,0)),"Not Found")</f>
        <v>1.85</v>
      </c>
      <c r="W52" s="21">
        <f t="array" ref="W52">IFERROR(INDEX('Strategy Watchlist'!X:X,MATCH($A52,'Strategy Watchlist'!$A:$A,0)),"Not Found")</f>
        <v>-0.11</v>
      </c>
      <c r="X52" s="21">
        <f t="array" ref="X52">IFERROR(INDEX('Strategy Watchlist'!Y:Y,MATCH($A52,'Strategy Watchlist'!$A:$A,0)),"Not Found")</f>
        <v>1.53</v>
      </c>
      <c r="Y52" s="22" t="str">
        <f t="array" ref="Y52">IFERROR(INDEX('Strategy Watchlist'!Z:Z,MATCH($A52,'Strategy Watchlist'!$A:$A,0)),"Not Found")</f>
        <v>https://www.tradingview.com/chart/Q9MeKvVC/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</row>
    <row r="53" spans="1:119" ht="14.25" customHeight="1" x14ac:dyDescent="0.2">
      <c r="A53" s="17" t="str">
        <f t="shared" si="15"/>
        <v>[b39d1d6e]|PIXEL|WolfnBear|1H</v>
      </c>
      <c r="B53" s="1" t="s">
        <v>28</v>
      </c>
      <c r="C53" s="19">
        <f t="shared" si="16"/>
        <v>0.41666666666666669</v>
      </c>
      <c r="D53" s="58" t="s">
        <v>93</v>
      </c>
      <c r="E53" s="1" t="s">
        <v>94</v>
      </c>
      <c r="F53" s="1" t="s">
        <v>51</v>
      </c>
      <c r="G53" s="1" t="s">
        <v>52</v>
      </c>
      <c r="H53" s="2">
        <v>15000</v>
      </c>
      <c r="I53" s="24">
        <f t="shared" si="17"/>
        <v>3150</v>
      </c>
      <c r="J53" s="2">
        <f>I53</f>
        <v>3150</v>
      </c>
      <c r="K53" s="2">
        <v>120</v>
      </c>
      <c r="L53" s="19">
        <f t="array" ref="L53">IFERROR(INDEX('Strategy Watchlist'!L:L,MATCH($A53,'Strategy Watchlist'!$A:$A,0)),"Not Found")</f>
        <v>6.7377398720682304</v>
      </c>
      <c r="M53" s="12">
        <f t="array" ref="M53">IFERROR(INDEX('Strategy Watchlist'!M:M,MATCH($A53,'Strategy Watchlist'!$A:$A,0)),"Not Found")</f>
        <v>124</v>
      </c>
      <c r="N53" s="20">
        <f t="array" ref="N53">IFERROR(INDEX('Strategy Watchlist'!N:N,MATCH($A53,'Strategy Watchlist'!$A:$A,0)),"Not Found")</f>
        <v>45833</v>
      </c>
      <c r="O53" s="21">
        <f t="array" ref="O53">IFERROR(INDEX('Strategy Watchlist'!P:P,MATCH($A53,'Strategy Watchlist'!$A:$A,0)),"Not Found")</f>
        <v>1.78</v>
      </c>
      <c r="P53" s="21">
        <f t="array" ref="P53">IFERROR(INDEX('Strategy Watchlist'!Q:Q,MATCH($A53,'Strategy Watchlist'!$A:$A,0)),"Not Found")</f>
        <v>-0.57999999999999996</v>
      </c>
      <c r="Q53" s="21">
        <f t="array" ref="Q53">IFERROR(INDEX('Strategy Watchlist'!R:R,MATCH($A53,'Strategy Watchlist'!$A:$A,0)),"Not Found")</f>
        <v>2.67</v>
      </c>
      <c r="R53" s="21">
        <f t="array" ref="R53">IFERROR(INDEX('Strategy Watchlist'!S:S,MATCH($A53,'Strategy Watchlist'!$A:$A,0)),"Not Found")</f>
        <v>4.07</v>
      </c>
      <c r="S53" s="21">
        <f t="array" ref="S53">IFERROR(INDEX('Strategy Watchlist'!T:T,MATCH($A53,'Strategy Watchlist'!$A:$A,0)),"Not Found")</f>
        <v>2.2999999999999998</v>
      </c>
      <c r="T53" s="21">
        <f t="array" ref="T53">IFERROR(INDEX('Strategy Watchlist'!U:U,MATCH($A53,'Strategy Watchlist'!$A:$A,0)),"Not Found")</f>
        <v>1.05</v>
      </c>
      <c r="U53" s="21">
        <f t="array" ref="U53">IFERROR(INDEX('Strategy Watchlist'!V:V,MATCH($A53,'Strategy Watchlist'!$A:$A,0)),"Not Found")</f>
        <v>-1.1299999999999999</v>
      </c>
      <c r="V53" s="21">
        <f t="array" ref="V53">IFERROR(INDEX('Strategy Watchlist'!W:W,MATCH($A53,'Strategy Watchlist'!$A:$A,0)),"Not Found")</f>
        <v>0.64</v>
      </c>
      <c r="W53" s="21">
        <f t="array" ref="W53">IFERROR(INDEX('Strategy Watchlist'!X:X,MATCH($A53,'Strategy Watchlist'!$A:$A,0)),"Not Found")</f>
        <v>-0.53</v>
      </c>
      <c r="X53" s="21">
        <f t="array" ref="X53">IFERROR(INDEX('Strategy Watchlist'!Y:Y,MATCH($A53,'Strategy Watchlist'!$A:$A,0)),"Not Found")</f>
        <v>-0.16</v>
      </c>
      <c r="Y53" s="22" t="str">
        <f t="array" ref="Y53">IFERROR(INDEX('Strategy Watchlist'!Z:Z,MATCH($A53,'Strategy Watchlist'!$A:$A,0)),"Not Found")</f>
        <v>https://www.tradingview.com/chart/7HMGQSsJ/</v>
      </c>
      <c r="Z53" s="58"/>
      <c r="AA53" s="58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">
        <v>62</v>
      </c>
      <c r="AV53" s="1" t="s">
        <v>95</v>
      </c>
      <c r="AW53" s="1" t="s">
        <v>94</v>
      </c>
      <c r="AX53" s="1" t="s">
        <v>51</v>
      </c>
      <c r="AY53" s="18">
        <v>8.125</v>
      </c>
      <c r="AZ53" s="4">
        <v>124</v>
      </c>
      <c r="BA53" s="1" t="s">
        <v>52</v>
      </c>
      <c r="BB53" s="76">
        <v>45833</v>
      </c>
      <c r="BC53" s="77">
        <v>-0.09</v>
      </c>
      <c r="BD53" s="77">
        <v>2.89</v>
      </c>
      <c r="BE53" s="77">
        <v>4.46</v>
      </c>
      <c r="BF53" s="77">
        <v>2.52</v>
      </c>
      <c r="BG53" s="77">
        <v>1.25</v>
      </c>
      <c r="BH53" s="77">
        <v>-1.1299999999999999</v>
      </c>
      <c r="BI53" s="77">
        <v>0.64</v>
      </c>
      <c r="BJ53" s="77">
        <v>-0.53</v>
      </c>
      <c r="BK53" s="77">
        <v>-0.16</v>
      </c>
      <c r="BL53" s="1" t="s">
        <v>93</v>
      </c>
      <c r="BM53" s="1" t="s">
        <v>96</v>
      </c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ht="14.25" customHeight="1" x14ac:dyDescent="0.2">
      <c r="A54" s="17" t="str">
        <f t="shared" si="15"/>
        <v>[1e052093]|SOL|FlashProfit|59m</v>
      </c>
      <c r="B54" s="1" t="s">
        <v>28</v>
      </c>
      <c r="C54" s="19">
        <f t="shared" si="16"/>
        <v>0.44444444444444442</v>
      </c>
      <c r="D54" s="58" t="s">
        <v>83</v>
      </c>
      <c r="E54" s="1" t="s">
        <v>43</v>
      </c>
      <c r="F54" s="1" t="s">
        <v>84</v>
      </c>
      <c r="G54" s="1" t="s">
        <v>85</v>
      </c>
      <c r="H54" s="1">
        <v>16000</v>
      </c>
      <c r="I54" s="24">
        <f t="shared" si="17"/>
        <v>3360</v>
      </c>
      <c r="J54" s="2">
        <v>800</v>
      </c>
      <c r="K54" s="1">
        <v>160</v>
      </c>
      <c r="L54" s="19">
        <f t="array" ref="L54">IFERROR(INDEX('Strategy Watchlist'!L:L,MATCH($A54,'Strategy Watchlist'!$A:$A,0)),"Not Found")</f>
        <v>4.1988505747126439</v>
      </c>
      <c r="M54" s="12">
        <f t="array" ref="M54">IFERROR(INDEX('Strategy Watchlist'!M:M,MATCH($A54,'Strategy Watchlist'!$A:$A,0)),"Not Found")</f>
        <v>567</v>
      </c>
      <c r="N54" s="20">
        <f t="array" ref="N54">IFERROR(INDEX('Strategy Watchlist'!N:N,MATCH($A54,'Strategy Watchlist'!$A:$A,0)),"Not Found")</f>
        <v>45925</v>
      </c>
      <c r="O54" s="21">
        <f t="array" ref="O54">IFERROR(INDEX('Strategy Watchlist'!P:P,MATCH($A54,'Strategy Watchlist'!$A:$A,0)),"Not Found")</f>
        <v>0.82</v>
      </c>
      <c r="P54" s="21">
        <f t="array" ref="P54">IFERROR(INDEX('Strategy Watchlist'!Q:Q,MATCH($A54,'Strategy Watchlist'!$A:$A,0)),"Not Found")</f>
        <v>6.44</v>
      </c>
      <c r="Q54" s="21">
        <f t="array" ref="Q54">IFERROR(INDEX('Strategy Watchlist'!R:R,MATCH($A54,'Strategy Watchlist'!$A:$A,0)),"Not Found")</f>
        <v>4.43</v>
      </c>
      <c r="R54" s="21">
        <f t="array" ref="R54">IFERROR(INDEX('Strategy Watchlist'!S:S,MATCH($A54,'Strategy Watchlist'!$A:$A,0)),"Not Found")</f>
        <v>-0.32</v>
      </c>
      <c r="S54" s="21">
        <f t="array" ref="S54">IFERROR(INDEX('Strategy Watchlist'!T:T,MATCH($A54,'Strategy Watchlist'!$A:$A,0)),"Not Found")</f>
        <v>0.78</v>
      </c>
      <c r="T54" s="21">
        <f t="array" ref="T54">IFERROR(INDEX('Strategy Watchlist'!U:U,MATCH($A54,'Strategy Watchlist'!$A:$A,0)),"Not Found")</f>
        <v>2.0299999999999998</v>
      </c>
      <c r="U54" s="21">
        <f t="array" ref="U54">IFERROR(INDEX('Strategy Watchlist'!V:V,MATCH($A54,'Strategy Watchlist'!$A:$A,0)),"Not Found")</f>
        <v>0.72</v>
      </c>
      <c r="V54" s="21">
        <f t="array" ref="V54">IFERROR(INDEX('Strategy Watchlist'!W:W,MATCH($A54,'Strategy Watchlist'!$A:$A,0)),"Not Found")</f>
        <v>2.39</v>
      </c>
      <c r="W54" s="21">
        <f t="array" ref="W54">IFERROR(INDEX('Strategy Watchlist'!X:X,MATCH($A54,'Strategy Watchlist'!$A:$A,0)),"Not Found")</f>
        <v>1.96</v>
      </c>
      <c r="X54" s="21">
        <f t="array" ref="X54">IFERROR(INDEX('Strategy Watchlist'!Y:Y,MATCH($A54,'Strategy Watchlist'!$A:$A,0)),"Not Found")</f>
        <v>0.45</v>
      </c>
      <c r="Y54" s="22" t="str">
        <f t="array" ref="Y54">IFERROR(INDEX('Strategy Watchlist'!Z:Z,MATCH($A54,'Strategy Watchlist'!$A:$A,0)),"Not Found")</f>
        <v>https://www.tradingview.com/chart/mnGjsgoY/</v>
      </c>
      <c r="Z54" s="58"/>
      <c r="AA54" s="58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</row>
    <row r="55" spans="1:119" ht="14.25" customHeight="1" x14ac:dyDescent="0.2">
      <c r="A55" s="39" t="str">
        <f t="shared" si="15"/>
        <v>[8a00ecfa]|ADA|JpTrendForce|1H</v>
      </c>
      <c r="B55" s="78" t="s">
        <v>28</v>
      </c>
      <c r="C55" s="19">
        <f t="shared" si="16"/>
        <v>0.41666666666666669</v>
      </c>
      <c r="D55" s="3" t="s">
        <v>97</v>
      </c>
      <c r="E55" s="78" t="s">
        <v>98</v>
      </c>
      <c r="F55" s="78" t="s">
        <v>99</v>
      </c>
      <c r="G55" s="78" t="s">
        <v>52</v>
      </c>
      <c r="H55" s="17">
        <v>15000</v>
      </c>
      <c r="I55" s="24">
        <f t="shared" si="17"/>
        <v>3150</v>
      </c>
      <c r="J55" s="24">
        <f t="shared" ref="J55:J56" si="18">I55</f>
        <v>3150</v>
      </c>
      <c r="K55" s="1">
        <v>300</v>
      </c>
      <c r="L55" s="18">
        <f>38.28/5.19</f>
        <v>7.3757225433526008</v>
      </c>
      <c r="M55" s="4">
        <v>160</v>
      </c>
      <c r="N55" s="79">
        <v>45682</v>
      </c>
      <c r="O55" s="21">
        <f t="array" ref="O55">IFERROR(INDEX('Strategy Watchlist'!P:P,MATCH($A55,'Strategy Watchlist'!$A:$A,0)),"Not Found")</f>
        <v>3.77</v>
      </c>
      <c r="P55" s="3">
        <v>-1.61</v>
      </c>
      <c r="Q55" s="3">
        <v>1.35</v>
      </c>
      <c r="R55" s="3">
        <v>2.58</v>
      </c>
      <c r="S55" s="3">
        <v>3.16</v>
      </c>
      <c r="T55" s="3">
        <v>1.52</v>
      </c>
      <c r="U55" s="3">
        <v>-1.1000000000000001</v>
      </c>
      <c r="V55" s="3">
        <v>-1.24</v>
      </c>
      <c r="W55" s="3">
        <v>0</v>
      </c>
      <c r="X55" s="3">
        <v>0</v>
      </c>
      <c r="Y55" s="80" t="s">
        <v>100</v>
      </c>
      <c r="Z55" s="3"/>
      <c r="AA55" s="3"/>
      <c r="AB55" s="3"/>
      <c r="AC55" s="3"/>
      <c r="AD55" s="3"/>
      <c r="AU55" s="39" t="str">
        <f t="shared" ref="AU55:AU56" si="19">AX55&amp;"|"&amp;AY55&amp;"|"&amp;AZ55&amp;"|"&amp;BA55</f>
        <v>[8a00ecfa]|ADA|JpTrendForce|1H</v>
      </c>
      <c r="AV55" s="78" t="s">
        <v>62</v>
      </c>
      <c r="AW55" s="1"/>
      <c r="AX55" s="3" t="s">
        <v>97</v>
      </c>
      <c r="AY55" s="78" t="s">
        <v>98</v>
      </c>
      <c r="AZ55" s="78" t="s">
        <v>99</v>
      </c>
      <c r="BA55" s="78" t="s">
        <v>52</v>
      </c>
      <c r="BB55" s="18"/>
      <c r="BC55" s="18"/>
      <c r="BD55" s="18"/>
      <c r="BE55" s="18"/>
      <c r="BF55" s="18">
        <f>38.28/5.19</f>
        <v>7.3757225433526008</v>
      </c>
      <c r="BG55" s="4">
        <v>160</v>
      </c>
      <c r="BH55" s="79">
        <v>45682</v>
      </c>
      <c r="BI55" s="3">
        <v>3.77</v>
      </c>
      <c r="BJ55" s="3">
        <v>-1.61</v>
      </c>
      <c r="BK55" s="3">
        <v>1.35</v>
      </c>
      <c r="BL55" s="3">
        <v>2.58</v>
      </c>
      <c r="BM55" s="3">
        <v>3.16</v>
      </c>
      <c r="BN55" s="3">
        <v>1.52</v>
      </c>
      <c r="BO55" s="3">
        <v>-1.1000000000000001</v>
      </c>
      <c r="BP55" s="3">
        <v>-1.24</v>
      </c>
      <c r="BQ55" s="3">
        <v>0</v>
      </c>
      <c r="BR55" s="3">
        <v>0</v>
      </c>
      <c r="BS55" s="80" t="s">
        <v>100</v>
      </c>
      <c r="BT55" s="3"/>
      <c r="BU55" s="3"/>
      <c r="BV55" s="3"/>
      <c r="BW55" s="3"/>
      <c r="BX55" s="3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</row>
    <row r="56" spans="1:119" ht="14.25" customHeight="1" x14ac:dyDescent="0.2">
      <c r="A56" s="39" t="str">
        <f t="shared" si="15"/>
        <v>[fbf06b43]|MNT|Trendhoo|37m</v>
      </c>
      <c r="B56" s="42" t="s">
        <v>28</v>
      </c>
      <c r="C56" s="19">
        <f t="shared" si="16"/>
        <v>0.41666666666666669</v>
      </c>
      <c r="D56" s="42" t="s">
        <v>101</v>
      </c>
      <c r="E56" s="42" t="s">
        <v>102</v>
      </c>
      <c r="F56" s="42" t="s">
        <v>67</v>
      </c>
      <c r="G56" s="42" t="s">
        <v>103</v>
      </c>
      <c r="H56" s="17">
        <v>15000</v>
      </c>
      <c r="I56" s="24">
        <f t="shared" si="17"/>
        <v>3150</v>
      </c>
      <c r="J56" s="24">
        <f t="shared" si="18"/>
        <v>3150</v>
      </c>
      <c r="K56" s="1">
        <v>240</v>
      </c>
      <c r="L56" s="43">
        <f>106.85/16.15</f>
        <v>6.6160990712074303</v>
      </c>
      <c r="M56" s="44">
        <v>846</v>
      </c>
      <c r="N56" s="81">
        <v>45863</v>
      </c>
      <c r="O56" s="21">
        <f t="array" ref="O56">IFERROR(INDEX('Strategy Watchlist'!P:P,MATCH($A56,'Strategy Watchlist'!$A:$A,0)),"Not Found")</f>
        <v>2.4900000000000002</v>
      </c>
      <c r="P56" s="21">
        <v>6.22</v>
      </c>
      <c r="Q56" s="21">
        <v>2.4</v>
      </c>
      <c r="R56" s="21">
        <v>14.95</v>
      </c>
      <c r="S56" s="21">
        <v>-0.75</v>
      </c>
      <c r="T56" s="21">
        <v>2.1800000000000002</v>
      </c>
      <c r="U56" s="21">
        <v>-6.96</v>
      </c>
      <c r="V56" s="21">
        <v>-0.73</v>
      </c>
      <c r="W56" s="21">
        <v>-1.92</v>
      </c>
      <c r="X56" s="21">
        <v>6.73</v>
      </c>
      <c r="Y56" s="47" t="s">
        <v>104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39" t="str">
        <f t="shared" si="19"/>
        <v>[fbf06b43]|MNT|Trendhoo|37m</v>
      </c>
      <c r="AV56" s="42" t="s">
        <v>28</v>
      </c>
      <c r="AW56" s="17">
        <v>0.2</v>
      </c>
      <c r="AX56" s="42" t="s">
        <v>101</v>
      </c>
      <c r="AY56" s="42" t="s">
        <v>102</v>
      </c>
      <c r="AZ56" s="42" t="s">
        <v>67</v>
      </c>
      <c r="BA56" s="42" t="s">
        <v>103</v>
      </c>
      <c r="BB56" s="43"/>
      <c r="BC56" s="43"/>
      <c r="BD56" s="43"/>
      <c r="BE56" s="43"/>
      <c r="BF56" s="43">
        <f>106.85/16.15</f>
        <v>6.6160990712074303</v>
      </c>
      <c r="BG56" s="44">
        <v>846</v>
      </c>
      <c r="BH56" s="81">
        <v>45863</v>
      </c>
      <c r="BI56" s="21">
        <v>2.4900000000000002</v>
      </c>
      <c r="BJ56" s="21">
        <v>6.22</v>
      </c>
      <c r="BK56" s="21">
        <v>2.4</v>
      </c>
      <c r="BL56" s="21">
        <v>14.95</v>
      </c>
      <c r="BM56" s="21">
        <v>-0.75</v>
      </c>
      <c r="BN56" s="21">
        <v>2.1800000000000002</v>
      </c>
      <c r="BO56" s="21">
        <v>-6.96</v>
      </c>
      <c r="BP56" s="21">
        <v>-0.73</v>
      </c>
      <c r="BQ56" s="21">
        <v>-1.92</v>
      </c>
      <c r="BR56" s="21">
        <v>6.73</v>
      </c>
      <c r="BS56" s="47" t="s">
        <v>104</v>
      </c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</row>
    <row r="57" spans="1:119" ht="14.25" customHeight="1" x14ac:dyDescent="0.2">
      <c r="A57" s="86" t="str">
        <f t="shared" si="15"/>
        <v>|25000|36000|</v>
      </c>
      <c r="B57" s="86" t="s">
        <v>107</v>
      </c>
      <c r="C57" s="86"/>
      <c r="D57" s="86"/>
      <c r="E57" s="86">
        <v>25000</v>
      </c>
      <c r="F57" s="86">
        <v>36000</v>
      </c>
      <c r="G57" s="86"/>
      <c r="H57" s="86"/>
      <c r="I57" s="87"/>
      <c r="J57" s="87"/>
      <c r="K57" s="86"/>
      <c r="L57" s="87"/>
      <c r="M57" s="12"/>
      <c r="N57" s="20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spans="1:119" ht="14.25" customHeight="1" x14ac:dyDescent="0.2">
      <c r="A58" s="17" t="str">
        <f t="shared" si="15"/>
        <v>[fa32aee4]|LINK|McGinley|45m</v>
      </c>
      <c r="B58" s="23" t="s">
        <v>28</v>
      </c>
      <c r="C58" s="43">
        <f t="shared" ref="C58:C65" si="20">H58/$F$57</f>
        <v>0.41666666666666669</v>
      </c>
      <c r="D58" s="17" t="s">
        <v>55</v>
      </c>
      <c r="E58" s="17" t="s">
        <v>25</v>
      </c>
      <c r="F58" s="17" t="s">
        <v>47</v>
      </c>
      <c r="G58" s="23" t="s">
        <v>32</v>
      </c>
      <c r="H58" s="24">
        <v>15000</v>
      </c>
      <c r="I58" s="24">
        <f t="shared" ref="I58:I65" si="21">H58*0.21</f>
        <v>3150</v>
      </c>
      <c r="J58" s="24">
        <v>3800</v>
      </c>
      <c r="K58" s="17">
        <v>160</v>
      </c>
      <c r="L58" s="19">
        <f t="array" ref="L58">IFERROR(INDEX('Strategy Watchlist'!L:L,MATCH($A58,'Strategy Watchlist'!$A:$A,0)),"Not Found")</f>
        <v>16.683760683760685</v>
      </c>
      <c r="M58" s="12">
        <f t="array" ref="M58">IFERROR(INDEX('Strategy Watchlist'!M:M,MATCH($A58,'Strategy Watchlist'!$A:$A,0)),"Not Found")</f>
        <v>176</v>
      </c>
      <c r="N58" s="20">
        <f t="array" ref="N58">IFERROR(INDEX('Strategy Watchlist'!N:N,MATCH($A58,'Strategy Watchlist'!$A:$A,0)),"Not Found")</f>
        <v>45833</v>
      </c>
      <c r="O58" s="21">
        <f t="array" ref="O58">IFERROR(INDEX('Strategy Watchlist'!P:P,MATCH($A58,'Strategy Watchlist'!$A:$A,0)),"Not Found")</f>
        <v>-2.02</v>
      </c>
      <c r="P58" s="21">
        <f t="array" ref="P58">IFERROR(INDEX('Strategy Watchlist'!Q:Q,MATCH($A58,'Strategy Watchlist'!$A:$A,0)),"Not Found")</f>
        <v>0.36</v>
      </c>
      <c r="Q58" s="21">
        <f t="array" ref="Q58">IFERROR(INDEX('Strategy Watchlist'!R:R,MATCH($A58,'Strategy Watchlist'!$A:$A,0)),"Not Found")</f>
        <v>7</v>
      </c>
      <c r="R58" s="21">
        <f t="array" ref="R58">IFERROR(INDEX('Strategy Watchlist'!S:S,MATCH($A58,'Strategy Watchlist'!$A:$A,0)),"Not Found")</f>
        <v>3.76</v>
      </c>
      <c r="S58" s="21">
        <f t="array" ref="S58">IFERROR(INDEX('Strategy Watchlist'!T:T,MATCH($A58,'Strategy Watchlist'!$A:$A,0)),"Not Found")</f>
        <v>2.2200000000000002</v>
      </c>
      <c r="T58" s="21">
        <f t="array" ref="T58">IFERROR(INDEX('Strategy Watchlist'!U:U,MATCH($A58,'Strategy Watchlist'!$A:$A,0)),"Not Found")</f>
        <v>6.68</v>
      </c>
      <c r="U58" s="21">
        <f t="array" ref="U58">IFERROR(INDEX('Strategy Watchlist'!V:V,MATCH($A58,'Strategy Watchlist'!$A:$A,0)),"Not Found")</f>
        <v>-0.14000000000000001</v>
      </c>
      <c r="V58" s="21">
        <f t="array" ref="V58">IFERROR(INDEX('Strategy Watchlist'!W:W,MATCH($A58,'Strategy Watchlist'!$A:$A,0)),"Not Found")</f>
        <v>5.22</v>
      </c>
      <c r="W58" s="21">
        <f t="array" ref="W58">IFERROR(INDEX('Strategy Watchlist'!X:X,MATCH($A58,'Strategy Watchlist'!$A:$A,0)),"Not Found")</f>
        <v>0</v>
      </c>
      <c r="X58" s="21">
        <f t="array" ref="X58">IFERROR(INDEX('Strategy Watchlist'!Y:Y,MATCH($A58,'Strategy Watchlist'!$A:$A,0)),"Not Found")</f>
        <v>0.13</v>
      </c>
      <c r="Y58" s="22" t="str">
        <f t="array" ref="Y58">IFERROR(INDEX('Strategy Watchlist'!Z:Z,MATCH($A58,'Strategy Watchlist'!$A:$A,0)),"Not Found")</f>
        <v>https://www.tradingview.com/chart/CTC73Olh/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</row>
    <row r="59" spans="1:119" ht="14.25" customHeight="1" x14ac:dyDescent="0.2">
      <c r="A59" s="63" t="str">
        <f t="shared" si="15"/>
        <v>|PePe|T3 Nexus|30m</v>
      </c>
      <c r="B59" s="63" t="s">
        <v>28</v>
      </c>
      <c r="C59" s="88">
        <f t="shared" si="20"/>
        <v>0.27777777777777779</v>
      </c>
      <c r="D59" s="63"/>
      <c r="E59" s="63" t="s">
        <v>40</v>
      </c>
      <c r="F59" s="63" t="s">
        <v>82</v>
      </c>
      <c r="G59" s="63" t="s">
        <v>38</v>
      </c>
      <c r="H59" s="65">
        <v>10000</v>
      </c>
      <c r="I59" s="65">
        <f t="shared" si="21"/>
        <v>2100</v>
      </c>
      <c r="J59" s="65">
        <v>460</v>
      </c>
      <c r="K59" s="63">
        <v>160</v>
      </c>
      <c r="L59" s="66">
        <f t="array" ref="L59">IFERROR(INDEX('Strategy Watchlist'!L:L,MATCH($A59,'Strategy Watchlist'!$A:$A,0)),"Not Found")</f>
        <v>0.82275229357798174</v>
      </c>
      <c r="M59" s="67">
        <f t="array" ref="M59">IFERROR(INDEX('Strategy Watchlist'!M:M,MATCH($A59,'Strategy Watchlist'!$A:$A,0)),"Not Found")</f>
        <v>748</v>
      </c>
      <c r="N59" s="68">
        <f t="array" ref="N59">IFERROR(INDEX('Strategy Watchlist'!N:N,MATCH($A59,'Strategy Watchlist'!$A:$A,0)),"Not Found")</f>
        <v>45662</v>
      </c>
      <c r="O59" s="69">
        <f t="array" ref="O59">IFERROR(INDEX('Strategy Watchlist'!P:P,MATCH($A59,'Strategy Watchlist'!$A:$A,0)),"Not Found")</f>
        <v>-8.9600000000000009</v>
      </c>
      <c r="P59" s="69">
        <f t="array" ref="P59">IFERROR(INDEX('Strategy Watchlist'!Q:Q,MATCH($A59,'Strategy Watchlist'!$A:$A,0)),"Not Found")</f>
        <v>-0.19</v>
      </c>
      <c r="Q59" s="69">
        <f t="array" ref="Q59">IFERROR(INDEX('Strategy Watchlist'!R:R,MATCH($A59,'Strategy Watchlist'!$A:$A,0)),"Not Found")</f>
        <v>6.1</v>
      </c>
      <c r="R59" s="69">
        <f t="array" ref="R59">IFERROR(INDEX('Strategy Watchlist'!S:S,MATCH($A59,'Strategy Watchlist'!$A:$A,0)),"Not Found")</f>
        <v>3.29</v>
      </c>
      <c r="S59" s="69">
        <f t="array" ref="S59">IFERROR(INDEX('Strategy Watchlist'!T:T,MATCH($A59,'Strategy Watchlist'!$A:$A,0)),"Not Found")</f>
        <v>1.47</v>
      </c>
      <c r="T59" s="69">
        <f t="array" ref="T59">IFERROR(INDEX('Strategy Watchlist'!U:U,MATCH($A59,'Strategy Watchlist'!$A:$A,0)),"Not Found")</f>
        <v>6.2</v>
      </c>
      <c r="U59" s="69">
        <f t="array" ref="U59">IFERROR(INDEX('Strategy Watchlist'!V:V,MATCH($A59,'Strategy Watchlist'!$A:$A,0)),"Not Found")</f>
        <v>-4.5</v>
      </c>
      <c r="V59" s="69">
        <f t="array" ref="V59">IFERROR(INDEX('Strategy Watchlist'!W:W,MATCH($A59,'Strategy Watchlist'!$A:$A,0)),"Not Found")</f>
        <v>4.74</v>
      </c>
      <c r="W59" s="69">
        <f t="array" ref="W59">IFERROR(INDEX('Strategy Watchlist'!X:X,MATCH($A59,'Strategy Watchlist'!$A:$A,0)),"Not Found")</f>
        <v>1.1599999999999999</v>
      </c>
      <c r="X59" s="69">
        <f t="array" ref="X59">IFERROR(INDEX('Strategy Watchlist'!Y:Y,MATCH($A59,'Strategy Watchlist'!$A:$A,0)),"Not Found")</f>
        <v>7.62</v>
      </c>
      <c r="Y59" s="70" t="str">
        <f t="array" ref="Y59">IFERROR(INDEX('Strategy Watchlist'!Z:Z,MATCH($A59,'Strategy Watchlist'!$A:$A,0)),"Not Found")</f>
        <v>https://www.tradingview.com/chart/Kj5ZGHdw/</v>
      </c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</row>
    <row r="60" spans="1:119" ht="14.25" customHeight="1" x14ac:dyDescent="0.2">
      <c r="A60" s="89" t="str">
        <f t="shared" si="15"/>
        <v>[0c4624b7]|SOL|volVangard|30m</v>
      </c>
      <c r="B60" s="89" t="s">
        <v>28</v>
      </c>
      <c r="C60" s="43">
        <f t="shared" si="20"/>
        <v>0.41666666666666669</v>
      </c>
      <c r="D60" s="89" t="s">
        <v>42</v>
      </c>
      <c r="E60" s="89" t="s">
        <v>43</v>
      </c>
      <c r="F60" s="89" t="s">
        <v>44</v>
      </c>
      <c r="G60" s="89" t="s">
        <v>38</v>
      </c>
      <c r="H60" s="90">
        <v>15000</v>
      </c>
      <c r="I60" s="90">
        <f t="shared" si="21"/>
        <v>3150</v>
      </c>
      <c r="J60" s="90">
        <v>2500</v>
      </c>
      <c r="K60" s="89">
        <v>200</v>
      </c>
      <c r="L60" s="91">
        <f t="array" ref="L60">IFERROR(INDEX('Strategy Watchlist'!L:L,MATCH($A60,'Strategy Watchlist'!$A:$A,0)),"Not Found")</f>
        <v>9.533219761499149</v>
      </c>
      <c r="M60" s="12">
        <f t="array" ref="M60">IFERROR(INDEX('Strategy Watchlist'!M:M,MATCH($A60,'Strategy Watchlist'!$A:$A,0)),"Not Found")</f>
        <v>118</v>
      </c>
      <c r="N60" s="92">
        <f t="array" ref="N60">IFERROR(INDEX('Strategy Watchlist'!N:N,MATCH($A60,'Strategy Watchlist'!$A:$A,0)),"Not Found")</f>
        <v>45772</v>
      </c>
      <c r="O60" s="93">
        <f t="array" ref="O60">IFERROR(INDEX('Strategy Watchlist'!P:P,MATCH($A60,'Strategy Watchlist'!$A:$A,0)),"Not Found")</f>
        <v>-0.99</v>
      </c>
      <c r="P60" s="93">
        <f t="array" ref="P60">IFERROR(INDEX('Strategy Watchlist'!Q:Q,MATCH($A60,'Strategy Watchlist'!$A:$A,0)),"Not Found")</f>
        <v>4.09</v>
      </c>
      <c r="Q60" s="93">
        <f t="array" ref="Q60">IFERROR(INDEX('Strategy Watchlist'!R:R,MATCH($A60,'Strategy Watchlist'!$A:$A,0)),"Not Found")</f>
        <v>0.37</v>
      </c>
      <c r="R60" s="93">
        <f t="array" ref="R60">IFERROR(INDEX('Strategy Watchlist'!S:S,MATCH($A60,'Strategy Watchlist'!$A:$A,0)),"Not Found")</f>
        <v>-3.58</v>
      </c>
      <c r="S60" s="93">
        <f t="array" ref="S60">IFERROR(INDEX('Strategy Watchlist'!T:T,MATCH($A60,'Strategy Watchlist'!$A:$A,0)),"Not Found")</f>
        <v>6.51</v>
      </c>
      <c r="T60" s="93">
        <f t="array" ref="T60">IFERROR(INDEX('Strategy Watchlist'!U:U,MATCH($A60,'Strategy Watchlist'!$A:$A,0)),"Not Found")</f>
        <v>-0.43</v>
      </c>
      <c r="U60" s="93">
        <f t="array" ref="U60">IFERROR(INDEX('Strategy Watchlist'!V:V,MATCH($A60,'Strategy Watchlist'!$A:$A,0)),"Not Found")</f>
        <v>5.78</v>
      </c>
      <c r="V60" s="93">
        <f t="array" ref="V60">IFERROR(INDEX('Strategy Watchlist'!W:W,MATCH($A60,'Strategy Watchlist'!$A:$A,0)),"Not Found")</f>
        <v>-0.64</v>
      </c>
      <c r="W60" s="93">
        <f t="array" ref="W60">IFERROR(INDEX('Strategy Watchlist'!X:X,MATCH($A60,'Strategy Watchlist'!$A:$A,0)),"Not Found")</f>
        <v>1.32</v>
      </c>
      <c r="X60" s="93">
        <f t="array" ref="X60">IFERROR(INDEX('Strategy Watchlist'!Y:Y,MATCH($A60,'Strategy Watchlist'!$A:$A,0)),"Not Found")</f>
        <v>0.33</v>
      </c>
      <c r="Y60" s="94" t="str">
        <f t="array" ref="Y60">IFERROR(INDEX('Strategy Watchlist'!Z:Z,MATCH($A60,'Strategy Watchlist'!$A:$A,0)),"Not Found")</f>
        <v>https://www.tradingview.com/chart/tJDJVri5/</v>
      </c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</row>
    <row r="61" spans="1:119" ht="14.25" customHeight="1" x14ac:dyDescent="0.2">
      <c r="A61" s="17" t="str">
        <f t="shared" si="15"/>
        <v>[6dcd4dc9]|ETH|precisionTrend|30m</v>
      </c>
      <c r="B61" s="1" t="s">
        <v>28</v>
      </c>
      <c r="C61" s="43">
        <f t="shared" si="20"/>
        <v>0.5</v>
      </c>
      <c r="D61" s="58" t="s">
        <v>86</v>
      </c>
      <c r="E61" s="1" t="s">
        <v>46</v>
      </c>
      <c r="F61" s="1" t="s">
        <v>54</v>
      </c>
      <c r="G61" s="1" t="s">
        <v>38</v>
      </c>
      <c r="H61" s="1">
        <v>18000</v>
      </c>
      <c r="I61" s="24">
        <f t="shared" si="21"/>
        <v>3780</v>
      </c>
      <c r="J61" s="2">
        <f>I61</f>
        <v>3780</v>
      </c>
      <c r="K61" s="1">
        <v>190</v>
      </c>
      <c r="L61" s="19">
        <f t="array" ref="L61">IFERROR(INDEX('Strategy Watchlist'!L:L,MATCH($A61,'Strategy Watchlist'!$A:$A,0)),"Not Found")</f>
        <v>9.2112359550561802</v>
      </c>
      <c r="M61" s="12">
        <f t="array" ref="M61">IFERROR(INDEX('Strategy Watchlist'!M:M,MATCH($A61,'Strategy Watchlist'!$A:$A,0)),"Not Found")</f>
        <v>312</v>
      </c>
      <c r="N61" s="20">
        <f t="array" ref="N61">IFERROR(INDEX('Strategy Watchlist'!N:N,MATCH($A61,'Strategy Watchlist'!$A:$A,0)),"Not Found")</f>
        <v>45772</v>
      </c>
      <c r="O61" s="21">
        <f t="array" ref="O61">IFERROR(INDEX('Strategy Watchlist'!P:P,MATCH($A61,'Strategy Watchlist'!$A:$A,0)),"Not Found")</f>
        <v>1.07</v>
      </c>
      <c r="P61" s="21">
        <f t="array" ref="P61">IFERROR(INDEX('Strategy Watchlist'!Q:Q,MATCH($A61,'Strategy Watchlist'!$A:$A,0)),"Not Found")</f>
        <v>-2.52</v>
      </c>
      <c r="Q61" s="21">
        <f t="array" ref="Q61">IFERROR(INDEX('Strategy Watchlist'!R:R,MATCH($A61,'Strategy Watchlist'!$A:$A,0)),"Not Found")</f>
        <v>1.84</v>
      </c>
      <c r="R61" s="21">
        <f t="array" ref="R61">IFERROR(INDEX('Strategy Watchlist'!S:S,MATCH($A61,'Strategy Watchlist'!$A:$A,0)),"Not Found")</f>
        <v>3.9</v>
      </c>
      <c r="S61" s="21">
        <f t="array" ref="S61">IFERROR(INDEX('Strategy Watchlist'!T:T,MATCH($A61,'Strategy Watchlist'!$A:$A,0)),"Not Found")</f>
        <v>1.37</v>
      </c>
      <c r="T61" s="21">
        <f t="array" ref="T61">IFERROR(INDEX('Strategy Watchlist'!U:U,MATCH($A61,'Strategy Watchlist'!$A:$A,0)),"Not Found")</f>
        <v>6.22</v>
      </c>
      <c r="U61" s="21">
        <f t="array" ref="U61">IFERROR(INDEX('Strategy Watchlist'!V:V,MATCH($A61,'Strategy Watchlist'!$A:$A,0)),"Not Found")</f>
        <v>3</v>
      </c>
      <c r="V61" s="21">
        <f t="array" ref="V61">IFERROR(INDEX('Strategy Watchlist'!W:W,MATCH($A61,'Strategy Watchlist'!$A:$A,0)),"Not Found")</f>
        <v>3.99</v>
      </c>
      <c r="W61" s="21">
        <f t="array" ref="W61">IFERROR(INDEX('Strategy Watchlist'!X:X,MATCH($A61,'Strategy Watchlist'!$A:$A,0)),"Not Found")</f>
        <v>0.93</v>
      </c>
      <c r="X61" s="21">
        <f t="array" ref="X61">IFERROR(INDEX('Strategy Watchlist'!Y:Y,MATCH($A61,'Strategy Watchlist'!$A:$A,0)),"Not Found")</f>
        <v>2.21</v>
      </c>
      <c r="Y61" s="22" t="str">
        <f t="array" ref="Y61">IFERROR(INDEX('Strategy Watchlist'!Z:Z,MATCH($A61,'Strategy Watchlist'!$A:$A,0)),"Not Found")</f>
        <v>https://www.tradingview.com/chart/YxD2lfI2/</v>
      </c>
      <c r="Z61" s="58"/>
      <c r="AA61" s="58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</row>
    <row r="62" spans="1:119" ht="14.25" customHeight="1" x14ac:dyDescent="0.2">
      <c r="A62" s="17" t="str">
        <f t="shared" si="15"/>
        <v>17.12.2024|ARB|Heiken-Ashi|45m</v>
      </c>
      <c r="B62" s="1" t="s">
        <v>28</v>
      </c>
      <c r="C62" s="43">
        <f t="shared" si="20"/>
        <v>0.33333333333333331</v>
      </c>
      <c r="D62" s="58" t="s">
        <v>81</v>
      </c>
      <c r="E62" s="1" t="s">
        <v>30</v>
      </c>
      <c r="F62" s="1" t="s">
        <v>37</v>
      </c>
      <c r="G62" s="1" t="s">
        <v>32</v>
      </c>
      <c r="H62" s="1">
        <v>12000</v>
      </c>
      <c r="I62" s="2">
        <f t="shared" si="21"/>
        <v>2520</v>
      </c>
      <c r="J62" s="2">
        <v>2520</v>
      </c>
      <c r="K62" s="1">
        <v>100</v>
      </c>
      <c r="L62" s="19">
        <f t="array" ref="L62">IFERROR(INDEX('Strategy Watchlist'!L:L,MATCH($A62,'Strategy Watchlist'!$A:$A,0)),"Not Found")</f>
        <v>12.102857142857143</v>
      </c>
      <c r="M62" s="12">
        <f t="array" ref="M62">IFERROR(INDEX('Strategy Watchlist'!M:M,MATCH($A62,'Strategy Watchlist'!$A:$A,0)),"Not Found")</f>
        <v>294</v>
      </c>
      <c r="N62" s="20">
        <f t="array" ref="N62">IFERROR(INDEX('Strategy Watchlist'!N:N,MATCH($A62,'Strategy Watchlist'!$A:$A,0)),"Not Found")</f>
        <v>45772</v>
      </c>
      <c r="O62" s="21">
        <f t="array" ref="O62">IFERROR(INDEX('Strategy Watchlist'!P:P,MATCH($A62,'Strategy Watchlist'!$A:$A,0)),"Not Found")</f>
        <v>-0.88</v>
      </c>
      <c r="P62" s="21">
        <f t="array" ref="P62">IFERROR(INDEX('Strategy Watchlist'!Q:Q,MATCH($A62,'Strategy Watchlist'!$A:$A,0)),"Not Found")</f>
        <v>0.46</v>
      </c>
      <c r="Q62" s="21">
        <f t="array" ref="Q62">IFERROR(INDEX('Strategy Watchlist'!R:R,MATCH($A62,'Strategy Watchlist'!$A:$A,0)),"Not Found")</f>
        <v>-0.54</v>
      </c>
      <c r="R62" s="21">
        <f t="array" ref="R62">IFERROR(INDEX('Strategy Watchlist'!S:S,MATCH($A62,'Strategy Watchlist'!$A:$A,0)),"Not Found")</f>
        <v>4.43</v>
      </c>
      <c r="S62" s="21">
        <f t="array" ref="S62">IFERROR(INDEX('Strategy Watchlist'!T:T,MATCH($A62,'Strategy Watchlist'!$A:$A,0)),"Not Found")</f>
        <v>-0.26</v>
      </c>
      <c r="T62" s="21">
        <f t="array" ref="T62">IFERROR(INDEX('Strategy Watchlist'!U:U,MATCH($A62,'Strategy Watchlist'!$A:$A,0)),"Not Found")</f>
        <v>0.04</v>
      </c>
      <c r="U62" s="21">
        <f t="array" ref="U62">IFERROR(INDEX('Strategy Watchlist'!V:V,MATCH($A62,'Strategy Watchlist'!$A:$A,0)),"Not Found")</f>
        <v>1.27</v>
      </c>
      <c r="V62" s="21">
        <f t="array" ref="V62">IFERROR(INDEX('Strategy Watchlist'!W:W,MATCH($A62,'Strategy Watchlist'!$A:$A,0)),"Not Found")</f>
        <v>3.69</v>
      </c>
      <c r="W62" s="21">
        <f t="array" ref="W62">IFERROR(INDEX('Strategy Watchlist'!X:X,MATCH($A62,'Strategy Watchlist'!$A:$A,0)),"Not Found")</f>
        <v>-0.27</v>
      </c>
      <c r="X62" s="21">
        <f t="array" ref="X62">IFERROR(INDEX('Strategy Watchlist'!Y:Y,MATCH($A62,'Strategy Watchlist'!$A:$A,0)),"Not Found")</f>
        <v>3.17</v>
      </c>
      <c r="Y62" s="22" t="str">
        <f t="array" ref="Y62">IFERROR(INDEX('Strategy Watchlist'!Z:Z,MATCH($A62,'Strategy Watchlist'!$A:$A,0)),"Not Found")</f>
        <v>https://www.tradingview.com/chart/9cT1VRvW/</v>
      </c>
      <c r="Z62" s="58"/>
      <c r="AA62" s="58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</row>
    <row r="63" spans="1:119" x14ac:dyDescent="0.2">
      <c r="A63" s="17" t="str">
        <f t="shared" si="15"/>
        <v>[4a2ddf14]|AAVE|McGlinley|45m</v>
      </c>
      <c r="B63" s="78" t="s">
        <v>28</v>
      </c>
      <c r="C63" s="43">
        <f t="shared" si="20"/>
        <v>0.41666666666666669</v>
      </c>
      <c r="D63" s="42" t="s">
        <v>89</v>
      </c>
      <c r="E63" s="42" t="s">
        <v>90</v>
      </c>
      <c r="F63" s="42" t="s">
        <v>91</v>
      </c>
      <c r="G63" s="42" t="s">
        <v>32</v>
      </c>
      <c r="H63" s="1">
        <v>15000</v>
      </c>
      <c r="I63" s="2">
        <f t="shared" si="21"/>
        <v>3150</v>
      </c>
      <c r="J63" s="2">
        <f t="shared" ref="J63:J64" si="22">I63</f>
        <v>3150</v>
      </c>
      <c r="K63" s="1">
        <v>160</v>
      </c>
      <c r="L63" s="19">
        <f t="array" ref="L63">IFERROR(INDEX('Strategy Watchlist'!L:L,MATCH($A63,'Strategy Watchlist'!$A:$A,0)),"Not Found")</f>
        <v>2.6694915254237288</v>
      </c>
      <c r="M63" s="12">
        <f t="array" ref="M63">IFERROR(INDEX('Strategy Watchlist'!M:M,MATCH($A63,'Strategy Watchlist'!$A:$A,0)),"Not Found")</f>
        <v>317</v>
      </c>
      <c r="N63" s="20">
        <f t="array" ref="N63">IFERROR(INDEX('Strategy Watchlist'!N:N,MATCH($A63,'Strategy Watchlist'!$A:$A,0)),"Not Found")</f>
        <v>45682</v>
      </c>
      <c r="O63" s="19">
        <f t="array" ref="O63">IFERROR(INDEX('Strategy Watchlist'!P:P,MATCH($A63,'Strategy Watchlist'!$A:$A,0)),"Not Found")</f>
        <v>2.66</v>
      </c>
      <c r="P63" s="19">
        <f t="array" ref="P63">IFERROR(INDEX('Strategy Watchlist'!Q:Q,MATCH($A63,'Strategy Watchlist'!$A:$A,0)),"Not Found")</f>
        <v>-0.85</v>
      </c>
      <c r="Q63" s="19">
        <f t="array" ref="Q63">IFERROR(INDEX('Strategy Watchlist'!R:R,MATCH($A63,'Strategy Watchlist'!$A:$A,0)),"Not Found")</f>
        <v>3.55</v>
      </c>
      <c r="R63" s="19">
        <f t="array" ref="R63">IFERROR(INDEX('Strategy Watchlist'!S:S,MATCH($A63,'Strategy Watchlist'!$A:$A,0)),"Not Found")</f>
        <v>1.77</v>
      </c>
      <c r="S63" s="19">
        <f t="array" ref="S63">IFERROR(INDEX('Strategy Watchlist'!T:T,MATCH($A63,'Strategy Watchlist'!$A:$A,0)),"Not Found")</f>
        <v>1.63</v>
      </c>
      <c r="T63" s="19">
        <f t="array" ref="T63">IFERROR(INDEX('Strategy Watchlist'!U:U,MATCH($A63,'Strategy Watchlist'!$A:$A,0)),"Not Found")</f>
        <v>-1.84</v>
      </c>
      <c r="U63" s="19">
        <f t="array" ref="U63">IFERROR(INDEX('Strategy Watchlist'!V:V,MATCH($A63,'Strategy Watchlist'!$A:$A,0)),"Not Found")</f>
        <v>0.2</v>
      </c>
      <c r="V63" s="19">
        <f t="array" ref="V63">IFERROR(INDEX('Strategy Watchlist'!W:W,MATCH($A63,'Strategy Watchlist'!$A:$A,0)),"Not Found")</f>
        <v>-1.49</v>
      </c>
      <c r="W63" s="19">
        <f t="array" ref="W63">IFERROR(INDEX('Strategy Watchlist'!X:X,MATCH($A63,'Strategy Watchlist'!$A:$A,0)),"Not Found")</f>
        <v>0</v>
      </c>
      <c r="X63" s="19">
        <f t="array" ref="X63">IFERROR(INDEX('Strategy Watchlist'!Y:Y,MATCH($A63,'Strategy Watchlist'!$A:$A,0)),"Not Found")</f>
        <v>0.28000000000000003</v>
      </c>
      <c r="Y63" s="22" t="str">
        <f t="array" ref="Y63">IFERROR(INDEX('Strategy Watchlist'!Z:Z,MATCH($A63,'Strategy Watchlist'!$A:$A,0)),"Not Found")</f>
        <v>https://www.tradingview.com/chart/Xt8Libni/</v>
      </c>
    </row>
    <row r="64" spans="1:119" ht="14.25" customHeight="1" x14ac:dyDescent="0.2">
      <c r="A64" s="25" t="str">
        <f t="shared" si="15"/>
        <v>[f2b236fa]|OP|glitchTrend|1H</v>
      </c>
      <c r="B64" s="26" t="s">
        <v>28</v>
      </c>
      <c r="C64" s="27">
        <f t="shared" si="20"/>
        <v>0.33333333333333331</v>
      </c>
      <c r="D64" s="28" t="s">
        <v>59</v>
      </c>
      <c r="E64" s="26" t="s">
        <v>60</v>
      </c>
      <c r="F64" s="26" t="s">
        <v>61</v>
      </c>
      <c r="G64" s="26" t="s">
        <v>52</v>
      </c>
      <c r="H64" s="29">
        <v>12000</v>
      </c>
      <c r="I64" s="30">
        <f t="shared" si="21"/>
        <v>2520</v>
      </c>
      <c r="J64" s="30">
        <f t="shared" si="22"/>
        <v>2520</v>
      </c>
      <c r="K64" s="29">
        <v>120</v>
      </c>
      <c r="L64" s="31">
        <f>57.27/6.84</f>
        <v>8.3728070175438596</v>
      </c>
      <c r="M64" s="32">
        <v>409</v>
      </c>
      <c r="N64" s="33">
        <v>45863</v>
      </c>
      <c r="O64" s="72">
        <f t="array" ref="O64">IFERROR(INDEX('Strategy Watchlist'!P:P,MATCH($A64,'Strategy Watchlist'!$A:$A,0)),"Not Found")</f>
        <v>2.64</v>
      </c>
      <c r="P64" s="28">
        <v>0.13</v>
      </c>
      <c r="Q64" s="28">
        <v>1.69</v>
      </c>
      <c r="R64" s="28">
        <v>6.07</v>
      </c>
      <c r="S64" s="28">
        <v>-3.19</v>
      </c>
      <c r="T64" s="28">
        <v>5.27</v>
      </c>
      <c r="U64" s="28">
        <v>3.43</v>
      </c>
      <c r="V64" s="28">
        <v>2.02</v>
      </c>
      <c r="W64" s="28">
        <v>0.08</v>
      </c>
      <c r="X64" s="28">
        <v>7.85</v>
      </c>
      <c r="Y64" s="35" t="s">
        <v>63</v>
      </c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5" t="str">
        <f>AX64&amp;"|"&amp;AY64&amp;"|"&amp;AZ64&amp;"|"&amp;BA64</f>
        <v>[f2b236fa]|OP|glitchTrend|1H</v>
      </c>
      <c r="AV64" s="26" t="s">
        <v>62</v>
      </c>
      <c r="AW64" s="29"/>
      <c r="AX64" s="28" t="s">
        <v>59</v>
      </c>
      <c r="AY64" s="26" t="s">
        <v>60</v>
      </c>
      <c r="AZ64" s="26" t="s">
        <v>61</v>
      </c>
      <c r="BA64" s="26" t="s">
        <v>52</v>
      </c>
      <c r="BB64" s="31"/>
      <c r="BC64" s="31"/>
      <c r="BD64" s="31"/>
      <c r="BE64" s="31"/>
      <c r="BF64" s="31">
        <f>57.27/6.84</f>
        <v>8.3728070175438596</v>
      </c>
      <c r="BG64" s="32">
        <v>409</v>
      </c>
      <c r="BH64" s="33">
        <v>45863</v>
      </c>
      <c r="BI64" s="28">
        <v>0.5</v>
      </c>
      <c r="BJ64" s="28">
        <v>0.13</v>
      </c>
      <c r="BK64" s="28">
        <v>1.69</v>
      </c>
      <c r="BL64" s="28">
        <v>6.07</v>
      </c>
      <c r="BM64" s="28">
        <v>-3.19</v>
      </c>
      <c r="BN64" s="28">
        <v>5.27</v>
      </c>
      <c r="BO64" s="28">
        <v>3.43</v>
      </c>
      <c r="BP64" s="28">
        <v>2.02</v>
      </c>
      <c r="BQ64" s="28">
        <v>0.08</v>
      </c>
      <c r="BR64" s="28">
        <v>7.85</v>
      </c>
      <c r="BS64" s="35" t="s">
        <v>63</v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</row>
    <row r="65" spans="1:119" ht="14.25" customHeight="1" x14ac:dyDescent="0.2">
      <c r="A65" s="17" t="str">
        <f t="shared" si="15"/>
        <v>[da58bf67]|NEAR|Trendhoo|30m</v>
      </c>
      <c r="B65" s="1" t="s">
        <v>28</v>
      </c>
      <c r="C65" s="27">
        <f t="shared" si="20"/>
        <v>0.41666666666666669</v>
      </c>
      <c r="D65" s="21" t="s">
        <v>87</v>
      </c>
      <c r="E65" s="42" t="s">
        <v>57</v>
      </c>
      <c r="F65" s="17" t="s">
        <v>67</v>
      </c>
      <c r="G65" s="78" t="s">
        <v>38</v>
      </c>
      <c r="H65" s="1">
        <v>15000</v>
      </c>
      <c r="I65" s="24">
        <f t="shared" si="21"/>
        <v>3150</v>
      </c>
      <c r="J65" s="24">
        <v>400</v>
      </c>
      <c r="K65" s="24">
        <v>160</v>
      </c>
      <c r="L65" s="19">
        <f t="array" ref="L65">IFERROR(INDEX('Strategy Watchlist'!L:L,MATCH($A65,'Strategy Watchlist'!$A:$A,0)),"Not Found")</f>
        <v>5.9785234899328854</v>
      </c>
      <c r="M65" s="12">
        <f t="array" ref="M65">IFERROR(INDEX('Strategy Watchlist'!M:M,MATCH($A65,'Strategy Watchlist'!$A:$A,0)),"Not Found")</f>
        <v>188</v>
      </c>
      <c r="N65" s="20">
        <f t="array" ref="N65">IFERROR(INDEX('Strategy Watchlist'!N:N,MATCH($A65,'Strategy Watchlist'!$A:$A,0)),"Not Found")</f>
        <v>45802</v>
      </c>
      <c r="O65" s="21">
        <f t="array" ref="O65">IFERROR(INDEX('Strategy Watchlist'!P:P,MATCH($A65,'Strategy Watchlist'!$A:$A,0)),"Not Found")</f>
        <v>0.27</v>
      </c>
      <c r="P65" s="21">
        <f t="array" ref="P65">IFERROR(INDEX('Strategy Watchlist'!Q:Q,MATCH($A65,'Strategy Watchlist'!$A:$A,0)),"Not Found")</f>
        <v>0</v>
      </c>
      <c r="Q65" s="21">
        <f t="array" ref="Q65">IFERROR(INDEX('Strategy Watchlist'!R:R,MATCH($A65,'Strategy Watchlist'!$A:$A,0)),"Not Found")</f>
        <v>4.76</v>
      </c>
      <c r="R65" s="21">
        <f t="array" ref="R65">IFERROR(INDEX('Strategy Watchlist'!S:S,MATCH($A65,'Strategy Watchlist'!$A:$A,0)),"Not Found")</f>
        <v>1.93</v>
      </c>
      <c r="S65" s="21">
        <f t="array" ref="S65">IFERROR(INDEX('Strategy Watchlist'!T:T,MATCH($A65,'Strategy Watchlist'!$A:$A,0)),"Not Found")</f>
        <v>1.34</v>
      </c>
      <c r="T65" s="21">
        <f t="array" ref="T65">IFERROR(INDEX('Strategy Watchlist'!U:U,MATCH($A65,'Strategy Watchlist'!$A:$A,0)),"Not Found")</f>
        <v>2.2999999999999998</v>
      </c>
      <c r="U65" s="21">
        <f t="array" ref="U65">IFERROR(INDEX('Strategy Watchlist'!V:V,MATCH($A65,'Strategy Watchlist'!$A:$A,0)),"Not Found")</f>
        <v>0.08</v>
      </c>
      <c r="V65" s="21">
        <f t="array" ref="V65">IFERROR(INDEX('Strategy Watchlist'!W:W,MATCH($A65,'Strategy Watchlist'!$A:$A,0)),"Not Found")</f>
        <v>1.26</v>
      </c>
      <c r="W65" s="21">
        <f t="array" ref="W65">IFERROR(INDEX('Strategy Watchlist'!X:X,MATCH($A65,'Strategy Watchlist'!$A:$A,0)),"Not Found")</f>
        <v>1.01</v>
      </c>
      <c r="X65" s="21">
        <f t="array" ref="X65">IFERROR(INDEX('Strategy Watchlist'!Y:Y,MATCH($A65,'Strategy Watchlist'!$A:$A,0)),"Not Found")</f>
        <v>5.82</v>
      </c>
      <c r="Y65" s="22" t="str">
        <f t="array" ref="Y65">IFERROR(INDEX('Strategy Watchlist'!Z:Z,MATCH($A65,'Strategy Watchlist'!$A:$A,0)),"Not Found")</f>
        <v>https://www.tradingview.com/chart/CsNPJ40O/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 t="s">
        <v>62</v>
      </c>
      <c r="AV65" s="42"/>
      <c r="AW65" s="42" t="s">
        <v>57</v>
      </c>
      <c r="AX65" s="17" t="s">
        <v>67</v>
      </c>
      <c r="AY65" s="95">
        <f>44.54/7.45</f>
        <v>5.9785234899328854</v>
      </c>
      <c r="AZ65" s="96">
        <v>188</v>
      </c>
      <c r="BA65" s="78" t="s">
        <v>38</v>
      </c>
      <c r="BB65" s="81">
        <v>45802</v>
      </c>
      <c r="BC65" s="21">
        <v>-0.16</v>
      </c>
      <c r="BD65" s="21">
        <v>4.76</v>
      </c>
      <c r="BE65" s="21">
        <v>1.93</v>
      </c>
      <c r="BF65" s="21">
        <v>1.34</v>
      </c>
      <c r="BG65" s="21">
        <v>2.2999999999999998</v>
      </c>
      <c r="BH65" s="21">
        <v>0.08</v>
      </c>
      <c r="BI65" s="21">
        <v>1.26</v>
      </c>
      <c r="BJ65" s="21">
        <v>1.01</v>
      </c>
      <c r="BK65" s="21">
        <v>5.82</v>
      </c>
      <c r="BL65" s="21" t="s">
        <v>87</v>
      </c>
      <c r="BM65" s="47" t="s">
        <v>88</v>
      </c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</row>
    <row r="66" spans="1:119" ht="14.25" customHeight="1" x14ac:dyDescent="0.2">
      <c r="A66" s="36" t="str">
        <f t="shared" si="15"/>
        <v>5x|25000|36000|</v>
      </c>
      <c r="B66" s="37" t="s">
        <v>108</v>
      </c>
      <c r="C66" s="37"/>
      <c r="D66" s="37" t="s">
        <v>65</v>
      </c>
      <c r="E66" s="37">
        <v>25000</v>
      </c>
      <c r="F66" s="37">
        <v>36000</v>
      </c>
      <c r="G66" s="37"/>
      <c r="H66" s="37"/>
      <c r="I66" s="38"/>
      <c r="J66" s="38"/>
      <c r="K66" s="37"/>
      <c r="L66" s="19"/>
      <c r="M66" s="12"/>
      <c r="N66" s="20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</row>
    <row r="67" spans="1:119" ht="14.25" customHeight="1" x14ac:dyDescent="0.2">
      <c r="A67" s="39" t="str">
        <f t="shared" si="15"/>
        <v>[0436a8e8]|SOL|Trendhoo|90m</v>
      </c>
      <c r="B67" s="17" t="s">
        <v>28</v>
      </c>
      <c r="C67" s="18">
        <f t="shared" ref="C67:C69" si="23">H67/$F$66</f>
        <v>0.41666666666666669</v>
      </c>
      <c r="D67" s="17" t="s">
        <v>66</v>
      </c>
      <c r="E67" s="17" t="s">
        <v>43</v>
      </c>
      <c r="F67" s="17" t="s">
        <v>67</v>
      </c>
      <c r="G67" s="17" t="s">
        <v>48</v>
      </c>
      <c r="H67" s="2">
        <v>15000</v>
      </c>
      <c r="I67" s="40">
        <f t="shared" ref="I67:I69" si="24">H67*0.21</f>
        <v>3150</v>
      </c>
      <c r="J67" s="2">
        <f t="shared" ref="J67:J68" si="25">I67</f>
        <v>3150</v>
      </c>
      <c r="K67" s="2">
        <v>120</v>
      </c>
      <c r="L67" s="19">
        <f t="array" ref="L67">IFERROR(INDEX('Strategy Watchlist'!L:L,MATCH($A67,'Strategy Watchlist'!$A:$A,0)),"Not Found")</f>
        <v>5.0460048426150124</v>
      </c>
      <c r="M67" s="12">
        <f t="array" ref="M67">IFERROR(INDEX('Strategy Watchlist'!M:M,MATCH($A67,'Strategy Watchlist'!$A:$A,0)),"Not Found")</f>
        <v>327</v>
      </c>
      <c r="N67" s="20">
        <f t="array" ref="N67">IFERROR(INDEX('Strategy Watchlist'!N:N,MATCH($A67,'Strategy Watchlist'!$A:$A,0)),"Not Found")</f>
        <v>45863</v>
      </c>
      <c r="O67" s="21">
        <f t="array" ref="O67">IFERROR(INDEX('Strategy Watchlist'!P:P,MATCH($A67,'Strategy Watchlist'!$A:$A,0)),"Not Found")</f>
        <v>-0.57999999999999996</v>
      </c>
      <c r="P67" s="21">
        <f t="array" ref="P67">IFERROR(INDEX('Strategy Watchlist'!Q:Q,MATCH($A67,'Strategy Watchlist'!$A:$A,0)),"Not Found")</f>
        <v>2.2999999999999998</v>
      </c>
      <c r="Q67" s="21">
        <f t="array" ref="Q67">IFERROR(INDEX('Strategy Watchlist'!R:R,MATCH($A67,'Strategy Watchlist'!$A:$A,0)),"Not Found")</f>
        <v>0.88</v>
      </c>
      <c r="R67" s="21">
        <f t="array" ref="R67">IFERROR(INDEX('Strategy Watchlist'!S:S,MATCH($A67,'Strategy Watchlist'!$A:$A,0)),"Not Found")</f>
        <v>0.88</v>
      </c>
      <c r="S67" s="21">
        <f t="array" ref="S67">IFERROR(INDEX('Strategy Watchlist'!T:T,MATCH($A67,'Strategy Watchlist'!$A:$A,0)),"Not Found")</f>
        <v>-0.19</v>
      </c>
      <c r="T67" s="21">
        <f t="array" ref="T67">IFERROR(INDEX('Strategy Watchlist'!U:U,MATCH($A67,'Strategy Watchlist'!$A:$A,0)),"Not Found")</f>
        <v>-0.1</v>
      </c>
      <c r="U67" s="21">
        <f t="array" ref="U67">IFERROR(INDEX('Strategy Watchlist'!V:V,MATCH($A67,'Strategy Watchlist'!$A:$A,0)),"Not Found")</f>
        <v>-0.52</v>
      </c>
      <c r="V67" s="21">
        <f t="array" ref="V67">IFERROR(INDEX('Strategy Watchlist'!W:W,MATCH($A67,'Strategy Watchlist'!$A:$A,0)),"Not Found")</f>
        <v>1.1100000000000001</v>
      </c>
      <c r="W67" s="21">
        <f t="array" ref="W67">IFERROR(INDEX('Strategy Watchlist'!X:X,MATCH($A67,'Strategy Watchlist'!$A:$A,0)),"Not Found")</f>
        <v>2.02</v>
      </c>
      <c r="X67" s="21">
        <f t="array" ref="X67">IFERROR(INDEX('Strategy Watchlist'!Y:Y,MATCH($A67,'Strategy Watchlist'!$A:$A,0)),"Not Found")</f>
        <v>2.73</v>
      </c>
      <c r="Y67" s="41" t="s">
        <v>68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42"/>
      <c r="AN67" s="42"/>
      <c r="AO67" s="42"/>
      <c r="AP67" s="42"/>
      <c r="AQ67" s="42"/>
      <c r="AR67" s="42"/>
      <c r="AS67" s="42"/>
      <c r="AT67" s="42"/>
      <c r="AU67" s="39" t="str">
        <f t="shared" ref="AU67:AU69" si="26">AX67&amp;"|"&amp;AY67&amp;"|"&amp;AZ67&amp;"|"&amp;BA67</f>
        <v>[0436a8e8]|SOL|Trendhoo|90m</v>
      </c>
      <c r="AV67" s="17" t="s">
        <v>28</v>
      </c>
      <c r="AW67" s="17">
        <v>0.2</v>
      </c>
      <c r="AX67" s="17" t="s">
        <v>66</v>
      </c>
      <c r="AY67" s="17" t="s">
        <v>43</v>
      </c>
      <c r="AZ67" s="17" t="s">
        <v>67</v>
      </c>
      <c r="BA67" s="17" t="s">
        <v>48</v>
      </c>
      <c r="BB67" s="43"/>
      <c r="BC67" s="43"/>
      <c r="BD67" s="43"/>
      <c r="BE67" s="43"/>
      <c r="BF67" s="43">
        <f>20.84/4.13</f>
        <v>5.0460048426150124</v>
      </c>
      <c r="BG67" s="44">
        <v>327</v>
      </c>
      <c r="BH67" s="45">
        <v>45863</v>
      </c>
      <c r="BI67" s="21">
        <v>0.72</v>
      </c>
      <c r="BJ67" s="21">
        <v>1.94</v>
      </c>
      <c r="BK67" s="21">
        <v>0.74</v>
      </c>
      <c r="BL67" s="21">
        <v>0.74</v>
      </c>
      <c r="BM67" s="21">
        <v>-0.19</v>
      </c>
      <c r="BN67" s="21">
        <v>-0.1</v>
      </c>
      <c r="BO67" s="21">
        <v>-0.52</v>
      </c>
      <c r="BP67" s="21">
        <v>1.1100000000000001</v>
      </c>
      <c r="BQ67" s="21">
        <v>2.02</v>
      </c>
      <c r="BR67" s="21">
        <v>2.73</v>
      </c>
      <c r="BS67" s="41" t="s">
        <v>68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42"/>
      <c r="CH67" s="42"/>
      <c r="CI67" s="42"/>
      <c r="CJ67" s="42"/>
      <c r="CK67" s="42"/>
      <c r="CL67" s="42"/>
      <c r="CM67" s="42"/>
      <c r="CN67" s="42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</row>
    <row r="68" spans="1:119" ht="14.25" customHeight="1" x14ac:dyDescent="0.2">
      <c r="A68" s="39" t="str">
        <f t="shared" si="15"/>
        <v>[1adc9501]|ETH|DeadZone|1H</v>
      </c>
      <c r="B68" s="42" t="s">
        <v>28</v>
      </c>
      <c r="C68" s="18">
        <f t="shared" si="23"/>
        <v>0.41666666666666669</v>
      </c>
      <c r="D68" s="42" t="s">
        <v>69</v>
      </c>
      <c r="E68" s="42" t="s">
        <v>46</v>
      </c>
      <c r="F68" s="42" t="s">
        <v>70</v>
      </c>
      <c r="G68" s="42" t="s">
        <v>52</v>
      </c>
      <c r="H68" s="2">
        <v>15000</v>
      </c>
      <c r="I68" s="40">
        <f t="shared" si="24"/>
        <v>3150</v>
      </c>
      <c r="J68" s="2">
        <f t="shared" si="25"/>
        <v>3150</v>
      </c>
      <c r="K68" s="2">
        <v>120</v>
      </c>
      <c r="L68" s="19">
        <f t="array" ref="L68">IFERROR(INDEX('Strategy Watchlist'!L:L,MATCH($A68,'Strategy Watchlist'!$A:$A,0)),"Not Found")</f>
        <v>8.4111675126903549</v>
      </c>
      <c r="M68" s="12">
        <f t="array" ref="M68">IFERROR(INDEX('Strategy Watchlist'!M:M,MATCH($A68,'Strategy Watchlist'!$A:$A,0)),"Not Found")</f>
        <v>134</v>
      </c>
      <c r="N68" s="20">
        <f t="array" ref="N68">IFERROR(INDEX('Strategy Watchlist'!N:N,MATCH($A68,'Strategy Watchlist'!$A:$A,0)),"Not Found")</f>
        <v>45802</v>
      </c>
      <c r="O68" s="21">
        <f t="array" ref="O68">IFERROR(INDEX('Strategy Watchlist'!P:P,MATCH($A68,'Strategy Watchlist'!$A:$A,0)),"Not Found")</f>
        <v>0.51</v>
      </c>
      <c r="P68" s="21">
        <f t="array" ref="P68">IFERROR(INDEX('Strategy Watchlist'!Q:Q,MATCH($A68,'Strategy Watchlist'!$A:$A,0)),"Not Found")</f>
        <v>0.63</v>
      </c>
      <c r="Q68" s="21">
        <f t="array" ref="Q68">IFERROR(INDEX('Strategy Watchlist'!R:R,MATCH($A68,'Strategy Watchlist'!$A:$A,0)),"Not Found")</f>
        <v>4.53</v>
      </c>
      <c r="R68" s="21">
        <f t="array" ref="R68">IFERROR(INDEX('Strategy Watchlist'!S:S,MATCH($A68,'Strategy Watchlist'!$A:$A,0)),"Not Found")</f>
        <v>3.6</v>
      </c>
      <c r="S68" s="21">
        <f t="array" ref="S68">IFERROR(INDEX('Strategy Watchlist'!T:T,MATCH($A68,'Strategy Watchlist'!$A:$A,0)),"Not Found")</f>
        <v>1.0900000000000001</v>
      </c>
      <c r="T68" s="21">
        <f t="array" ref="T68">IFERROR(INDEX('Strategy Watchlist'!U:U,MATCH($A68,'Strategy Watchlist'!$A:$A,0)),"Not Found")</f>
        <v>2.31</v>
      </c>
      <c r="U68" s="21">
        <f t="array" ref="U68">IFERROR(INDEX('Strategy Watchlist'!V:V,MATCH($A68,'Strategy Watchlist'!$A:$A,0)),"Not Found")</f>
        <v>0.49</v>
      </c>
      <c r="V68" s="21">
        <f t="array" ref="V68">IFERROR(INDEX('Strategy Watchlist'!W:W,MATCH($A68,'Strategy Watchlist'!$A:$A,0)),"Not Found")</f>
        <v>-1.63</v>
      </c>
      <c r="W68" s="21">
        <f t="array" ref="W68">IFERROR(INDEX('Strategy Watchlist'!X:X,MATCH($A68,'Strategy Watchlist'!$A:$A,0)),"Not Found")</f>
        <v>0.27</v>
      </c>
      <c r="X68" s="21">
        <f t="array" ref="X68">IFERROR(INDEX('Strategy Watchlist'!Y:Y,MATCH($A68,'Strategy Watchlist'!$A:$A,0)),"Not Found")</f>
        <v>2.35</v>
      </c>
      <c r="Y68" s="41" t="s">
        <v>68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39" t="str">
        <f t="shared" si="26"/>
        <v>[1adc9501]|ETH|DeadZone|1H</v>
      </c>
      <c r="AV68" s="42" t="s">
        <v>62</v>
      </c>
      <c r="AW68" s="17"/>
      <c r="AX68" s="42" t="s">
        <v>69</v>
      </c>
      <c r="AY68" s="42" t="s">
        <v>46</v>
      </c>
      <c r="AZ68" s="42" t="s">
        <v>70</v>
      </c>
      <c r="BA68" s="42" t="s">
        <v>52</v>
      </c>
      <c r="BB68" s="19"/>
      <c r="BC68" s="19"/>
      <c r="BD68" s="19"/>
      <c r="BE68" s="19"/>
      <c r="BF68" s="19">
        <f>33.14/3.94</f>
        <v>8.4111675126903549</v>
      </c>
      <c r="BG68" s="46">
        <v>134</v>
      </c>
      <c r="BH68" s="45">
        <v>45802</v>
      </c>
      <c r="BI68" s="21">
        <v>0.9</v>
      </c>
      <c r="BJ68" s="21">
        <v>0.63</v>
      </c>
      <c r="BK68" s="21">
        <v>4.53</v>
      </c>
      <c r="BL68" s="21">
        <v>3.6</v>
      </c>
      <c r="BM68" s="21">
        <v>1.0900000000000001</v>
      </c>
      <c r="BN68" s="21">
        <v>2.31</v>
      </c>
      <c r="BO68" s="21">
        <v>0.49</v>
      </c>
      <c r="BP68" s="21">
        <v>-1.63</v>
      </c>
      <c r="BQ68" s="21">
        <v>0.27</v>
      </c>
      <c r="BR68" s="21">
        <v>2.35</v>
      </c>
      <c r="BS68" s="47" t="s">
        <v>71</v>
      </c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</row>
    <row r="69" spans="1:119" ht="14.25" customHeight="1" x14ac:dyDescent="0.2">
      <c r="A69" s="39" t="str">
        <f t="shared" si="15"/>
        <v>[04ea3071]|BTC|AI vs Ninja Turtle|76min</v>
      </c>
      <c r="B69" s="42" t="s">
        <v>28</v>
      </c>
      <c r="C69" s="18">
        <f t="shared" si="23"/>
        <v>0.55555555555555558</v>
      </c>
      <c r="D69" s="42" t="s">
        <v>72</v>
      </c>
      <c r="E69" s="42" t="s">
        <v>73</v>
      </c>
      <c r="F69" s="42" t="s">
        <v>74</v>
      </c>
      <c r="G69" s="42" t="s">
        <v>75</v>
      </c>
      <c r="H69" s="24">
        <v>20000</v>
      </c>
      <c r="I69" s="2">
        <f t="shared" si="24"/>
        <v>4200</v>
      </c>
      <c r="J69" s="24">
        <v>1000</v>
      </c>
      <c r="K69" s="24">
        <v>200</v>
      </c>
      <c r="L69" s="19">
        <f>37.21/4.33</f>
        <v>8.5935334872979219</v>
      </c>
      <c r="M69" s="12">
        <v>78</v>
      </c>
      <c r="N69" s="45">
        <v>45682</v>
      </c>
      <c r="O69" s="21">
        <f t="array" ref="O69">IFERROR(INDEX('Strategy Watchlist'!P:P,MATCH($A69,'Strategy Watchlist'!$A:$A,0)),"Not Found")</f>
        <v>1.67</v>
      </c>
      <c r="P69" s="21">
        <v>0.99</v>
      </c>
      <c r="Q69" s="21">
        <v>-0.22</v>
      </c>
      <c r="R69" s="21">
        <v>2.83</v>
      </c>
      <c r="S69" s="21">
        <v>-1.36</v>
      </c>
      <c r="T69" s="21">
        <v>3.58</v>
      </c>
      <c r="U69" s="21">
        <v>-0.43</v>
      </c>
      <c r="V69" s="21">
        <v>1.1299999999999999</v>
      </c>
      <c r="W69" s="21">
        <v>1.58</v>
      </c>
      <c r="X69" s="21">
        <v>3.31</v>
      </c>
      <c r="Y69" s="47" t="s">
        <v>76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39" t="str">
        <f t="shared" si="26"/>
        <v>[04ea3071]|BTC|AI vs Ninja Turtle|76min</v>
      </c>
      <c r="AV69" s="42" t="s">
        <v>28</v>
      </c>
      <c r="AW69" s="17"/>
      <c r="AX69" s="42" t="s">
        <v>72</v>
      </c>
      <c r="AY69" s="42" t="s">
        <v>73</v>
      </c>
      <c r="AZ69" s="42" t="s">
        <v>74</v>
      </c>
      <c r="BA69" s="42" t="s">
        <v>75</v>
      </c>
      <c r="BB69" s="19"/>
      <c r="BC69" s="19"/>
      <c r="BD69" s="19"/>
      <c r="BE69" s="19"/>
      <c r="BF69" s="19">
        <f>37.21/4.33</f>
        <v>8.5935334872979219</v>
      </c>
      <c r="BG69" s="46">
        <v>78</v>
      </c>
      <c r="BH69" s="45">
        <v>45682</v>
      </c>
      <c r="BI69" s="21">
        <v>0.99</v>
      </c>
      <c r="BJ69" s="21">
        <v>-0.22</v>
      </c>
      <c r="BK69" s="21">
        <v>2.83</v>
      </c>
      <c r="BL69" s="21">
        <v>-1.36</v>
      </c>
      <c r="BM69" s="21">
        <v>3.58</v>
      </c>
      <c r="BN69" s="21">
        <v>-0.43</v>
      </c>
      <c r="BO69" s="21">
        <v>1.1299999999999999</v>
      </c>
      <c r="BP69" s="21">
        <v>1.58</v>
      </c>
      <c r="BQ69" s="21">
        <v>3.31</v>
      </c>
      <c r="BR69" s="47" t="s">
        <v>76</v>
      </c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</row>
    <row r="70" spans="1:119" ht="14.25" customHeight="1" x14ac:dyDescent="0.2">
      <c r="A70" s="17"/>
      <c r="B70" s="1"/>
      <c r="C70" s="18"/>
      <c r="D70" s="1"/>
      <c r="E70" s="1"/>
      <c r="F70" s="1"/>
      <c r="G70" s="1"/>
      <c r="H70" s="57"/>
      <c r="I70" s="57"/>
      <c r="J70" s="57"/>
      <c r="K70" s="58"/>
      <c r="L70" s="19"/>
      <c r="M70" s="40"/>
      <c r="N70" s="20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19"/>
      <c r="Z70" s="1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</row>
    <row r="71" spans="1:119" ht="14.25" customHeight="1" x14ac:dyDescent="0.2">
      <c r="A71" s="17" t="str">
        <f>D71&amp;"|"&amp;E71&amp;"|"&amp;F71&amp;"|"&amp;G71</f>
        <v>5x|BTC|DCA|30m</v>
      </c>
      <c r="B71" s="1" t="s">
        <v>28</v>
      </c>
      <c r="C71" s="1"/>
      <c r="D71" s="18" t="s">
        <v>65</v>
      </c>
      <c r="E71" s="1" t="s">
        <v>73</v>
      </c>
      <c r="F71" s="1" t="s">
        <v>105</v>
      </c>
      <c r="G71" s="1" t="s">
        <v>38</v>
      </c>
      <c r="H71" s="2">
        <v>1333</v>
      </c>
      <c r="I71" s="18">
        <v>5</v>
      </c>
      <c r="J71" s="2">
        <f>H71*I71</f>
        <v>6665</v>
      </c>
      <c r="K71" s="1"/>
      <c r="L71" s="19"/>
      <c r="M71" s="24"/>
      <c r="N71" s="1"/>
      <c r="O71" s="3"/>
      <c r="P71" s="3"/>
      <c r="Q71" s="3"/>
      <c r="R71" s="3"/>
      <c r="S71" s="3"/>
      <c r="T71" s="3"/>
      <c r="U71" s="3"/>
      <c r="V71" s="3"/>
      <c r="W71" s="3"/>
      <c r="X71" s="3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</row>
    <row r="72" spans="1:119" ht="14.25" customHeight="1" x14ac:dyDescent="0.2">
      <c r="A72" s="17"/>
      <c r="B72" s="1"/>
      <c r="C72" s="1"/>
      <c r="D72" s="18"/>
      <c r="E72" s="1"/>
      <c r="F72" s="1"/>
      <c r="G72" s="1"/>
      <c r="H72" s="2"/>
      <c r="I72" s="18"/>
      <c r="J72" s="2"/>
      <c r="K72" s="1"/>
      <c r="L72" s="19"/>
      <c r="M72" s="24"/>
      <c r="N72" s="1"/>
      <c r="O72" s="3"/>
      <c r="P72" s="3"/>
      <c r="Q72" s="3"/>
      <c r="R72" s="3"/>
      <c r="S72" s="3"/>
      <c r="T72" s="3"/>
      <c r="U72" s="3"/>
      <c r="V72" s="3"/>
      <c r="W72" s="3"/>
      <c r="X72" s="3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</row>
    <row r="73" spans="1:119" ht="14.25" customHeight="1" x14ac:dyDescent="0.2">
      <c r="A73" s="17"/>
      <c r="B73" s="1"/>
      <c r="C73" s="1"/>
      <c r="D73" s="1"/>
      <c r="E73" s="1"/>
      <c r="F73" s="1"/>
      <c r="G73" s="1"/>
      <c r="H73" s="2"/>
      <c r="I73" s="2"/>
      <c r="J73" s="2"/>
      <c r="K73" s="1"/>
      <c r="L73" s="19"/>
      <c r="M73" s="4"/>
      <c r="N73" s="1"/>
      <c r="O73" s="3"/>
      <c r="P73" s="3"/>
      <c r="Q73" s="3"/>
      <c r="R73" s="3"/>
      <c r="S73" s="3"/>
      <c r="T73" s="3"/>
      <c r="U73" s="3"/>
      <c r="V73" s="3"/>
      <c r="W73" s="3"/>
      <c r="X73" s="3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</row>
    <row r="74" spans="1:119" ht="14.25" customHeight="1" x14ac:dyDescent="0.2">
      <c r="A74" s="17"/>
      <c r="B74" s="1"/>
      <c r="C74" s="1"/>
      <c r="D74" s="1"/>
      <c r="E74" s="1"/>
      <c r="F74" s="1"/>
      <c r="G74" s="1"/>
      <c r="H74" s="2"/>
      <c r="I74" s="2"/>
      <c r="J74" s="2"/>
      <c r="K74" s="1"/>
      <c r="L74" s="19"/>
      <c r="M74" s="4"/>
      <c r="N74" s="1"/>
      <c r="O74" s="3"/>
      <c r="P74" s="3"/>
      <c r="Q74" s="3"/>
      <c r="R74" s="3"/>
      <c r="S74" s="3"/>
      <c r="T74" s="3"/>
      <c r="U74" s="3"/>
      <c r="V74" s="3"/>
      <c r="W74" s="3"/>
      <c r="X74" s="3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</row>
    <row r="75" spans="1:119" ht="14.25" customHeight="1" x14ac:dyDescent="0.2">
      <c r="A75" s="17"/>
      <c r="B75" s="1"/>
      <c r="C75" s="1"/>
      <c r="D75" s="1"/>
      <c r="E75" s="1"/>
      <c r="F75" s="1"/>
      <c r="G75" s="1"/>
      <c r="H75" s="2"/>
      <c r="I75" s="2"/>
      <c r="J75" s="2"/>
      <c r="K75" s="1"/>
      <c r="L75" s="19"/>
      <c r="M75" s="4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</row>
    <row r="76" spans="1:119" ht="14.25" customHeight="1" x14ac:dyDescent="0.2">
      <c r="A76" s="17"/>
      <c r="B76" s="1"/>
      <c r="C76" s="1"/>
      <c r="D76" s="1"/>
      <c r="E76" s="1"/>
      <c r="F76" s="1"/>
      <c r="G76" s="1"/>
      <c r="H76" s="2"/>
      <c r="I76" s="2"/>
      <c r="J76" s="2"/>
      <c r="K76" s="1"/>
      <c r="L76" s="19"/>
      <c r="M76" s="4"/>
      <c r="N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</row>
    <row r="77" spans="1:119" ht="14.25" customHeight="1" x14ac:dyDescent="0.2">
      <c r="A77" s="17"/>
      <c r="B77" s="1"/>
      <c r="C77" s="1"/>
      <c r="D77" s="1"/>
      <c r="E77" s="1"/>
      <c r="F77" s="1"/>
      <c r="G77" s="1"/>
      <c r="H77" s="2"/>
      <c r="I77" s="2"/>
      <c r="J77" s="2"/>
      <c r="K77" s="1"/>
      <c r="L77" s="19"/>
      <c r="M77" s="4"/>
      <c r="N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</row>
    <row r="78" spans="1:119" ht="14.25" customHeight="1" x14ac:dyDescent="0.2">
      <c r="A78" s="17"/>
      <c r="B78" s="1"/>
      <c r="C78" s="1"/>
      <c r="D78" s="1"/>
      <c r="E78" s="1"/>
      <c r="F78" s="1"/>
      <c r="G78" s="1"/>
      <c r="H78" s="2"/>
      <c r="I78" s="2"/>
      <c r="J78" s="2"/>
      <c r="K78" s="1"/>
      <c r="L78" s="19"/>
      <c r="M78" s="4"/>
      <c r="N78" s="1"/>
      <c r="O78" s="3"/>
      <c r="P78" s="3"/>
      <c r="Q78" s="3"/>
      <c r="R78" s="3"/>
      <c r="S78" s="3"/>
      <c r="T78" s="3"/>
      <c r="U78" s="3"/>
      <c r="V78" s="3"/>
      <c r="W78" s="3"/>
      <c r="X78" s="3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</row>
    <row r="79" spans="1:119" ht="14.25" customHeight="1" x14ac:dyDescent="0.2">
      <c r="A79" s="17"/>
      <c r="B79" s="1"/>
      <c r="C79" s="1"/>
      <c r="D79" s="1"/>
      <c r="E79" s="1"/>
      <c r="F79" s="1"/>
      <c r="G79" s="1"/>
      <c r="H79" s="2"/>
      <c r="I79" s="2"/>
      <c r="J79" s="2"/>
      <c r="K79" s="1"/>
      <c r="L79" s="19"/>
      <c r="M79" s="4"/>
      <c r="N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</row>
    <row r="80" spans="1:119" ht="14.25" customHeight="1" x14ac:dyDescent="0.2">
      <c r="A80" s="17" t="str">
        <f t="shared" ref="A80:A110" si="27">D80&amp;"|"&amp;E80&amp;"|"&amp;F80&amp;"|"&amp;G80</f>
        <v>|||</v>
      </c>
      <c r="B80" s="1"/>
      <c r="C80" s="1"/>
      <c r="D80" s="1"/>
      <c r="E80" s="1"/>
      <c r="F80" s="1"/>
      <c r="G80" s="1"/>
      <c r="H80" s="2"/>
      <c r="I80" s="2"/>
      <c r="J80" s="2"/>
      <c r="K80" s="1"/>
      <c r="L80" s="19">
        <f t="array" ref="L80">IFERROR(INDEX('Strategy Watchlist'!L:L,MATCH($A80,'Strategy Watchlist'!$A:$A,0)),"Not Found")</f>
        <v>0</v>
      </c>
      <c r="M80" s="4"/>
      <c r="N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</row>
    <row r="81" spans="1:119" ht="16.5" customHeight="1" x14ac:dyDescent="0.2">
      <c r="A81" s="5" t="str">
        <f t="shared" si="27"/>
        <v>7x|95000|100000|</v>
      </c>
      <c r="B81" s="5" t="s">
        <v>109</v>
      </c>
      <c r="C81" s="5"/>
      <c r="D81" s="5" t="s">
        <v>27</v>
      </c>
      <c r="E81" s="5">
        <v>95000</v>
      </c>
      <c r="F81" s="5">
        <v>100000</v>
      </c>
      <c r="G81" s="5"/>
      <c r="H81" s="5"/>
      <c r="I81" s="6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</row>
    <row r="82" spans="1:119" ht="14.25" customHeight="1" x14ac:dyDescent="0.2">
      <c r="A82" s="17" t="str">
        <f t="shared" si="27"/>
        <v>[3111f1fd]|NEAR|Stiff Surge|1H</v>
      </c>
      <c r="B82" s="17" t="s">
        <v>28</v>
      </c>
      <c r="C82" s="17">
        <f t="shared" ref="C82:C94" si="28">H82/$F$81</f>
        <v>0.2</v>
      </c>
      <c r="D82" s="17" t="s">
        <v>56</v>
      </c>
      <c r="E82" s="17" t="s">
        <v>57</v>
      </c>
      <c r="F82" s="17" t="s">
        <v>58</v>
      </c>
      <c r="G82" s="17" t="s">
        <v>52</v>
      </c>
      <c r="H82" s="12">
        <v>20000</v>
      </c>
      <c r="I82" s="12">
        <f t="shared" ref="I82:I89" si="29">H82*0.21</f>
        <v>4200</v>
      </c>
      <c r="J82" s="12">
        <f>380*2.039</f>
        <v>774.82</v>
      </c>
      <c r="K82" s="39">
        <v>200</v>
      </c>
      <c r="L82" s="19">
        <f t="array" ref="L82">IFERROR(INDEX('Strategy Watchlist'!L:L,MATCH($A82,'Strategy Watchlist'!$A:$A,0)),"Not Found")</f>
        <v>3.1660516605166054</v>
      </c>
      <c r="M82" s="12">
        <f t="array" ref="M82">IFERROR(INDEX('Strategy Watchlist'!M:M,MATCH($A82,'Strategy Watchlist'!$A:$A,0)),"Not Found")</f>
        <v>237</v>
      </c>
      <c r="N82" s="20">
        <f t="array" ref="N82">IFERROR(INDEX('Strategy Watchlist'!N:N,MATCH($A82,'Strategy Watchlist'!$A:$A,0)),"Not Found")</f>
        <v>45717</v>
      </c>
      <c r="O82" s="21">
        <f t="array" ref="O82">IFERROR(INDEX('Strategy Watchlist'!P:P,MATCH($A82,'Strategy Watchlist'!$A:$A,0)),"Not Found")</f>
        <v>-1.39</v>
      </c>
      <c r="P82" s="21">
        <f t="array" ref="P82">IFERROR(INDEX('Strategy Watchlist'!Q:Q,MATCH($A82,'Strategy Watchlist'!$A:$A,0)),"Not Found")</f>
        <v>0.56000000000000005</v>
      </c>
      <c r="Q82" s="21">
        <f t="array" ref="Q82">IFERROR(INDEX('Strategy Watchlist'!R:R,MATCH($A82,'Strategy Watchlist'!$A:$A,0)),"Not Found")</f>
        <v>-0.43</v>
      </c>
      <c r="R82" s="21">
        <f t="array" ref="R82">IFERROR(INDEX('Strategy Watchlist'!S:S,MATCH($A82,'Strategy Watchlist'!$A:$A,0)),"Not Found")</f>
        <v>-0.45</v>
      </c>
      <c r="S82" s="21">
        <f t="array" ref="S82">IFERROR(INDEX('Strategy Watchlist'!T:T,MATCH($A82,'Strategy Watchlist'!$A:$A,0)),"Not Found")</f>
        <v>4.99</v>
      </c>
      <c r="T82" s="21">
        <f t="array" ref="T82">IFERROR(INDEX('Strategy Watchlist'!U:U,MATCH($A82,'Strategy Watchlist'!$A:$A,0)),"Not Found")</f>
        <v>4.37</v>
      </c>
      <c r="U82" s="21">
        <f t="array" ref="U82">IFERROR(INDEX('Strategy Watchlist'!V:V,MATCH($A82,'Strategy Watchlist'!$A:$A,0)),"Not Found")</f>
        <v>-1.47</v>
      </c>
      <c r="V82" s="21">
        <f t="array" ref="V82">IFERROR(INDEX('Strategy Watchlist'!W:W,MATCH($A82,'Strategy Watchlist'!$A:$A,0)),"Not Found")</f>
        <v>1.85</v>
      </c>
      <c r="W82" s="21">
        <f t="array" ref="W82">IFERROR(INDEX('Strategy Watchlist'!X:X,MATCH($A82,'Strategy Watchlist'!$A:$A,0)),"Not Found")</f>
        <v>-0.11</v>
      </c>
      <c r="X82" s="21">
        <f t="array" ref="X82">IFERROR(INDEX('Strategy Watchlist'!Y:Y,MATCH($A82,'Strategy Watchlist'!$A:$A,0)),"Not Found")</f>
        <v>1.53</v>
      </c>
      <c r="Y82" s="22" t="str">
        <f t="array" ref="Y82">IFERROR(INDEX('Strategy Watchlist'!Z:Z,MATCH($A82,'Strategy Watchlist'!$A:$A,0)),"Not Found")</f>
        <v>https://www.tradingview.com/chart/Q9MeKvVC/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</row>
    <row r="83" spans="1:119" ht="14.25" customHeight="1" x14ac:dyDescent="0.2">
      <c r="A83" s="29" t="str">
        <f t="shared" si="27"/>
        <v>[6dcd4dc9]|ETH|precisionTrend|30m</v>
      </c>
      <c r="B83" s="29" t="s">
        <v>28</v>
      </c>
      <c r="C83" s="29">
        <f t="shared" si="28"/>
        <v>0.3</v>
      </c>
      <c r="D83" s="29" t="s">
        <v>86</v>
      </c>
      <c r="E83" s="29" t="s">
        <v>46</v>
      </c>
      <c r="F83" s="29" t="s">
        <v>54</v>
      </c>
      <c r="G83" s="97" t="s">
        <v>38</v>
      </c>
      <c r="H83" s="30">
        <v>30000</v>
      </c>
      <c r="I83" s="30">
        <f t="shared" si="29"/>
        <v>6300</v>
      </c>
      <c r="J83" s="30">
        <v>9200</v>
      </c>
      <c r="K83" s="29">
        <v>300</v>
      </c>
      <c r="L83" s="72">
        <f t="array" ref="L83">IFERROR(INDEX('Strategy Watchlist'!L:L,MATCH($A83,'Strategy Watchlist'!$A:$A,0)),"Not Found")</f>
        <v>9.2112359550561802</v>
      </c>
      <c r="M83" s="73">
        <f t="array" ref="M83">IFERROR(INDEX('Strategy Watchlist'!M:M,MATCH($A83,'Strategy Watchlist'!$A:$A,0)),"Not Found")</f>
        <v>312</v>
      </c>
      <c r="N83" s="74">
        <f t="array" ref="N83">IFERROR(INDEX('Strategy Watchlist'!N:N,MATCH($A83,'Strategy Watchlist'!$A:$A,0)),"Not Found")</f>
        <v>45772</v>
      </c>
      <c r="O83" s="28">
        <f t="array" ref="O83">IFERROR(INDEX('Strategy Watchlist'!P:P,MATCH($A83,'Strategy Watchlist'!$A:$A,0)),"Not Found")</f>
        <v>1.07</v>
      </c>
      <c r="P83" s="28">
        <f t="array" ref="P83">IFERROR(INDEX('Strategy Watchlist'!Q:Q,MATCH($A83,'Strategy Watchlist'!$A:$A,0)),"Not Found")</f>
        <v>-2.52</v>
      </c>
      <c r="Q83" s="28">
        <f t="array" ref="Q83">IFERROR(INDEX('Strategy Watchlist'!R:R,MATCH($A83,'Strategy Watchlist'!$A:$A,0)),"Not Found")</f>
        <v>1.84</v>
      </c>
      <c r="R83" s="28">
        <f t="array" ref="R83">IFERROR(INDEX('Strategy Watchlist'!S:S,MATCH($A83,'Strategy Watchlist'!$A:$A,0)),"Not Found")</f>
        <v>3.9</v>
      </c>
      <c r="S83" s="28">
        <f t="array" ref="S83">IFERROR(INDEX('Strategy Watchlist'!T:T,MATCH($A83,'Strategy Watchlist'!$A:$A,0)),"Not Found")</f>
        <v>1.37</v>
      </c>
      <c r="T83" s="28">
        <f t="array" ref="T83">IFERROR(INDEX('Strategy Watchlist'!U:U,MATCH($A83,'Strategy Watchlist'!$A:$A,0)),"Not Found")</f>
        <v>6.22</v>
      </c>
      <c r="U83" s="28">
        <f t="array" ref="U83">IFERROR(INDEX('Strategy Watchlist'!V:V,MATCH($A83,'Strategy Watchlist'!$A:$A,0)),"Not Found")</f>
        <v>3</v>
      </c>
      <c r="V83" s="28">
        <f t="array" ref="V83">IFERROR(INDEX('Strategy Watchlist'!W:W,MATCH($A83,'Strategy Watchlist'!$A:$A,0)),"Not Found")</f>
        <v>3.99</v>
      </c>
      <c r="W83" s="28">
        <f t="array" ref="W83">IFERROR(INDEX('Strategy Watchlist'!X:X,MATCH($A83,'Strategy Watchlist'!$A:$A,0)),"Not Found")</f>
        <v>0.93</v>
      </c>
      <c r="X83" s="28">
        <f t="array" ref="X83">IFERROR(INDEX('Strategy Watchlist'!Y:Y,MATCH($A83,'Strategy Watchlist'!$A:$A,0)),"Not Found")</f>
        <v>2.21</v>
      </c>
      <c r="Y83" s="34" t="str">
        <f t="array" ref="Y83">IFERROR(INDEX('Strategy Watchlist'!Z:Z,MATCH($A83,'Strategy Watchlist'!$A:$A,0)),"Not Found")</f>
        <v>https://www.tradingview.com/chart/YxD2lfI2/</v>
      </c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</row>
    <row r="84" spans="1:119" ht="14.25" customHeight="1" x14ac:dyDescent="0.2">
      <c r="A84" s="63" t="str">
        <f t="shared" si="27"/>
        <v>[17ab2738]|ARB|stiff Surge|45m</v>
      </c>
      <c r="B84" s="98" t="s">
        <v>28</v>
      </c>
      <c r="C84" s="63">
        <f t="shared" si="28"/>
        <v>0.45</v>
      </c>
      <c r="D84" s="98" t="s">
        <v>29</v>
      </c>
      <c r="E84" s="98" t="s">
        <v>30</v>
      </c>
      <c r="F84" s="98" t="s">
        <v>31</v>
      </c>
      <c r="G84" s="98" t="s">
        <v>32</v>
      </c>
      <c r="H84" s="99">
        <v>45000</v>
      </c>
      <c r="I84" s="99">
        <f t="shared" si="29"/>
        <v>9450</v>
      </c>
      <c r="J84" s="99">
        <v>11500</v>
      </c>
      <c r="K84" s="98">
        <v>420</v>
      </c>
      <c r="L84" s="66">
        <f t="array" ref="L84">IFERROR(INDEX('Strategy Watchlist'!L:L,MATCH($A84,'Strategy Watchlist'!$A:$A,0)),"Not Found")</f>
        <v>10.965644171779141</v>
      </c>
      <c r="M84" s="12">
        <f t="array" ref="M84">IFERROR(INDEX('Strategy Watchlist'!M:M,MATCH($A84,'Strategy Watchlist'!$A:$A,0)),"Not Found")</f>
        <v>824</v>
      </c>
      <c r="N84" s="68">
        <f t="array" ref="N84">IFERROR(INDEX('Strategy Watchlist'!N:N,MATCH($A84,'Strategy Watchlist'!$A:$A,0)),"Not Found")</f>
        <v>45689</v>
      </c>
      <c r="O84" s="69">
        <f t="array" ref="O84">IFERROR(INDEX('Strategy Watchlist'!P:P,MATCH($A84,'Strategy Watchlist'!$A:$A,0)),"Not Found")</f>
        <v>-1.7</v>
      </c>
      <c r="P84" s="69">
        <f t="array" ref="P84">IFERROR(INDEX('Strategy Watchlist'!Q:Q,MATCH($A84,'Strategy Watchlist'!$A:$A,0)),"Not Found")</f>
        <v>-6.85</v>
      </c>
      <c r="Q84" s="69">
        <f t="array" ref="Q84">IFERROR(INDEX('Strategy Watchlist'!R:R,MATCH($A84,'Strategy Watchlist'!$A:$A,0)),"Not Found")</f>
        <v>1.99</v>
      </c>
      <c r="R84" s="69">
        <f t="array" ref="R84">IFERROR(INDEX('Strategy Watchlist'!S:S,MATCH($A84,'Strategy Watchlist'!$A:$A,0)),"Not Found")</f>
        <v>6.96</v>
      </c>
      <c r="S84" s="69">
        <f t="array" ref="S84">IFERROR(INDEX('Strategy Watchlist'!T:T,MATCH($A84,'Strategy Watchlist'!$A:$A,0)),"Not Found")</f>
        <v>8.0739999999999998</v>
      </c>
      <c r="T84" s="69">
        <f t="array" ref="T84">IFERROR(INDEX('Strategy Watchlist'!U:U,MATCH($A84,'Strategy Watchlist'!$A:$A,0)),"Not Found")</f>
        <v>11.5</v>
      </c>
      <c r="U84" s="69">
        <f t="array" ref="U84">IFERROR(INDEX('Strategy Watchlist'!V:V,MATCH($A84,'Strategy Watchlist'!$A:$A,0)),"Not Found")</f>
        <v>2.75</v>
      </c>
      <c r="V84" s="69">
        <f t="array" ref="V84">IFERROR(INDEX('Strategy Watchlist'!W:W,MATCH($A84,'Strategy Watchlist'!$A:$A,0)),"Not Found")</f>
        <v>2.57</v>
      </c>
      <c r="W84" s="69">
        <f t="array" ref="W84">IFERROR(INDEX('Strategy Watchlist'!X:X,MATCH($A84,'Strategy Watchlist'!$A:$A,0)),"Not Found")</f>
        <v>6.31</v>
      </c>
      <c r="X84" s="69">
        <f t="array" ref="X84">IFERROR(INDEX('Strategy Watchlist'!Y:Y,MATCH($A84,'Strategy Watchlist'!$A:$A,0)),"Not Found")</f>
        <v>7.91</v>
      </c>
      <c r="Y84" s="70" t="str">
        <f t="array" ref="Y84">IFERROR(INDEX('Strategy Watchlist'!Z:Z,MATCH($A84,'Strategy Watchlist'!$A:$A,0)),"Not Found")</f>
        <v>https://www.tradingview.com/chart/EjQUtmuc/</v>
      </c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</row>
    <row r="85" spans="1:119" ht="14.25" customHeight="1" x14ac:dyDescent="0.2">
      <c r="A85" s="17" t="str">
        <f t="shared" si="27"/>
        <v>[fa32aee4]|LINK|McGinley|45m</v>
      </c>
      <c r="B85" s="23" t="s">
        <v>28</v>
      </c>
      <c r="C85" s="17">
        <f t="shared" si="28"/>
        <v>0.3</v>
      </c>
      <c r="D85" s="17" t="s">
        <v>55</v>
      </c>
      <c r="E85" s="17" t="s">
        <v>25</v>
      </c>
      <c r="F85" s="17" t="s">
        <v>47</v>
      </c>
      <c r="G85" s="23" t="s">
        <v>32</v>
      </c>
      <c r="H85" s="24">
        <v>30000</v>
      </c>
      <c r="I85" s="24">
        <f t="shared" si="29"/>
        <v>6300</v>
      </c>
      <c r="J85" s="24">
        <v>7500</v>
      </c>
      <c r="K85" s="17">
        <v>300</v>
      </c>
      <c r="L85" s="19">
        <f t="array" ref="L85">IFERROR(INDEX('Strategy Watchlist'!L:L,MATCH($A85,'Strategy Watchlist'!$A:$A,0)),"Not Found")</f>
        <v>16.683760683760685</v>
      </c>
      <c r="M85" s="12">
        <f t="array" ref="M85">IFERROR(INDEX('Strategy Watchlist'!M:M,MATCH($A85,'Strategy Watchlist'!$A:$A,0)),"Not Found")</f>
        <v>176</v>
      </c>
      <c r="N85" s="20">
        <f t="array" ref="N85">IFERROR(INDEX('Strategy Watchlist'!N:N,MATCH($A85,'Strategy Watchlist'!$A:$A,0)),"Not Found")</f>
        <v>45833</v>
      </c>
      <c r="O85" s="21">
        <f t="array" ref="O85">IFERROR(INDEX('Strategy Watchlist'!P:P,MATCH($A85,'Strategy Watchlist'!$A:$A,0)),"Not Found")</f>
        <v>-2.02</v>
      </c>
      <c r="P85" s="21">
        <f t="array" ref="P85">IFERROR(INDEX('Strategy Watchlist'!Q:Q,MATCH($A85,'Strategy Watchlist'!$A:$A,0)),"Not Found")</f>
        <v>0.36</v>
      </c>
      <c r="Q85" s="21">
        <f t="array" ref="Q85">IFERROR(INDEX('Strategy Watchlist'!R:R,MATCH($A85,'Strategy Watchlist'!$A:$A,0)),"Not Found")</f>
        <v>7</v>
      </c>
      <c r="R85" s="21">
        <f t="array" ref="R85">IFERROR(INDEX('Strategy Watchlist'!S:S,MATCH($A85,'Strategy Watchlist'!$A:$A,0)),"Not Found")</f>
        <v>3.76</v>
      </c>
      <c r="S85" s="21">
        <f t="array" ref="S85">IFERROR(INDEX('Strategy Watchlist'!T:T,MATCH($A85,'Strategy Watchlist'!$A:$A,0)),"Not Found")</f>
        <v>2.2200000000000002</v>
      </c>
      <c r="T85" s="21">
        <f t="array" ref="T85">IFERROR(INDEX('Strategy Watchlist'!U:U,MATCH($A85,'Strategy Watchlist'!$A:$A,0)),"Not Found")</f>
        <v>6.68</v>
      </c>
      <c r="U85" s="21">
        <f t="array" ref="U85">IFERROR(INDEX('Strategy Watchlist'!V:V,MATCH($A85,'Strategy Watchlist'!$A:$A,0)),"Not Found")</f>
        <v>-0.14000000000000001</v>
      </c>
      <c r="V85" s="21">
        <f t="array" ref="V85">IFERROR(INDEX('Strategy Watchlist'!W:W,MATCH($A85,'Strategy Watchlist'!$A:$A,0)),"Not Found")</f>
        <v>5.22</v>
      </c>
      <c r="W85" s="21">
        <f t="array" ref="W85">IFERROR(INDEX('Strategy Watchlist'!X:X,MATCH($A85,'Strategy Watchlist'!$A:$A,0)),"Not Found")</f>
        <v>0</v>
      </c>
      <c r="X85" s="21">
        <f t="array" ref="X85">IFERROR(INDEX('Strategy Watchlist'!Y:Y,MATCH($A85,'Strategy Watchlist'!$A:$A,0)),"Not Found")</f>
        <v>0.13</v>
      </c>
      <c r="Y85" s="22" t="str">
        <f t="array" ref="Y85">IFERROR(INDEX('Strategy Watchlist'!Z:Z,MATCH($A85,'Strategy Watchlist'!$A:$A,0)),"Not Found")</f>
        <v>https://www.tradingview.com/chart/CTC73Olh/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</row>
    <row r="86" spans="1:119" ht="14.25" customHeight="1" x14ac:dyDescent="0.2">
      <c r="A86" s="48" t="str">
        <f t="shared" si="27"/>
        <v>|PePe|T3 Nexus|30m</v>
      </c>
      <c r="B86" s="82" t="s">
        <v>28</v>
      </c>
      <c r="C86" s="48">
        <f t="shared" si="28"/>
        <v>0.2</v>
      </c>
      <c r="D86" s="82"/>
      <c r="E86" s="82" t="s">
        <v>40</v>
      </c>
      <c r="F86" s="82" t="s">
        <v>82</v>
      </c>
      <c r="G86" s="82" t="s">
        <v>38</v>
      </c>
      <c r="H86" s="50">
        <v>20000</v>
      </c>
      <c r="I86" s="50">
        <f t="shared" si="29"/>
        <v>4200</v>
      </c>
      <c r="J86" s="50">
        <v>250</v>
      </c>
      <c r="K86" s="82">
        <v>100</v>
      </c>
      <c r="L86" s="52">
        <f t="array" ref="L86">IFERROR(INDEX('Strategy Watchlist'!L:L,MATCH($A86,'Strategy Watchlist'!$A:$A,0)),"Not Found")</f>
        <v>0.82275229357798174</v>
      </c>
      <c r="M86" s="50">
        <f t="array" ref="M86">IFERROR(INDEX('Strategy Watchlist'!M:M,MATCH($A86,'Strategy Watchlist'!$A:$A,0)),"Not Found")</f>
        <v>748</v>
      </c>
      <c r="N86" s="54">
        <f t="array" ref="N86">IFERROR(INDEX('Strategy Watchlist'!N:N,MATCH($A86,'Strategy Watchlist'!$A:$A,0)),"Not Found")</f>
        <v>45662</v>
      </c>
      <c r="O86" s="55">
        <f t="array" ref="O86">IFERROR(INDEX('Strategy Watchlist'!P:P,MATCH($A86,'Strategy Watchlist'!$A:$A,0)),"Not Found")</f>
        <v>-8.9600000000000009</v>
      </c>
      <c r="P86" s="55">
        <f t="array" ref="P86">IFERROR(INDEX('Strategy Watchlist'!Q:Q,MATCH($A86,'Strategy Watchlist'!$A:$A,0)),"Not Found")</f>
        <v>-0.19</v>
      </c>
      <c r="Q86" s="55">
        <f t="array" ref="Q86">IFERROR(INDEX('Strategy Watchlist'!R:R,MATCH($A86,'Strategy Watchlist'!$A:$A,0)),"Not Found")</f>
        <v>6.1</v>
      </c>
      <c r="R86" s="55">
        <f t="array" ref="R86">IFERROR(INDEX('Strategy Watchlist'!S:S,MATCH($A86,'Strategy Watchlist'!$A:$A,0)),"Not Found")</f>
        <v>3.29</v>
      </c>
      <c r="S86" s="55">
        <f t="array" ref="S86">IFERROR(INDEX('Strategy Watchlist'!T:T,MATCH($A86,'Strategy Watchlist'!$A:$A,0)),"Not Found")</f>
        <v>1.47</v>
      </c>
      <c r="T86" s="55">
        <f t="array" ref="T86">IFERROR(INDEX('Strategy Watchlist'!U:U,MATCH($A86,'Strategy Watchlist'!$A:$A,0)),"Not Found")</f>
        <v>6.2</v>
      </c>
      <c r="U86" s="55">
        <f t="array" ref="U86">IFERROR(INDEX('Strategy Watchlist'!V:V,MATCH($A86,'Strategy Watchlist'!$A:$A,0)),"Not Found")</f>
        <v>-4.5</v>
      </c>
      <c r="V86" s="55">
        <f t="array" ref="V86">IFERROR(INDEX('Strategy Watchlist'!W:W,MATCH($A86,'Strategy Watchlist'!$A:$A,0)),"Not Found")</f>
        <v>4.74</v>
      </c>
      <c r="W86" s="55">
        <f t="array" ref="W86">IFERROR(INDEX('Strategy Watchlist'!X:X,MATCH($A86,'Strategy Watchlist'!$A:$A,0)),"Not Found")</f>
        <v>1.1599999999999999</v>
      </c>
      <c r="X86" s="55">
        <f t="array" ref="X86">IFERROR(INDEX('Strategy Watchlist'!Y:Y,MATCH($A86,'Strategy Watchlist'!$A:$A,0)),"Not Found")</f>
        <v>7.62</v>
      </c>
      <c r="Y86" s="56" t="str">
        <f t="array" ref="Y86">IFERROR(INDEX('Strategy Watchlist'!Z:Z,MATCH($A86,'Strategy Watchlist'!$A:$A,0)),"Not Found")</f>
        <v>https://www.tradingview.com/chart/Kj5ZGHdw/</v>
      </c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</row>
    <row r="87" spans="1:119" ht="14.25" customHeight="1" x14ac:dyDescent="0.2">
      <c r="A87" s="17" t="str">
        <f t="shared" si="27"/>
        <v>|DOGE|MACD|45m</v>
      </c>
      <c r="B87" s="17" t="s">
        <v>28</v>
      </c>
      <c r="C87" s="17">
        <f t="shared" si="28"/>
        <v>0.2</v>
      </c>
      <c r="D87" s="17"/>
      <c r="E87" s="17" t="s">
        <v>33</v>
      </c>
      <c r="F87" s="17" t="s">
        <v>34</v>
      </c>
      <c r="G87" s="23" t="s">
        <v>32</v>
      </c>
      <c r="H87" s="24">
        <v>20000</v>
      </c>
      <c r="I87" s="24">
        <f t="shared" si="29"/>
        <v>4200</v>
      </c>
      <c r="J87" s="24">
        <v>7560</v>
      </c>
      <c r="K87" s="39">
        <v>270</v>
      </c>
      <c r="L87" s="19">
        <f t="array" ref="L87">IFERROR(INDEX('Strategy Watchlist'!L:L,MATCH($A87,'Strategy Watchlist'!$A:$A,0)),"Not Found")</f>
        <v>6.8331771321462043</v>
      </c>
      <c r="M87" s="12">
        <f t="array" ref="M87">IFERROR(INDEX('Strategy Watchlist'!M:M,MATCH($A87,'Strategy Watchlist'!$A:$A,0)),"Not Found")</f>
        <v>147</v>
      </c>
      <c r="N87" s="20">
        <f t="array" ref="N87">IFERROR(INDEX('Strategy Watchlist'!N:N,MATCH($A87,'Strategy Watchlist'!$A:$A,0)),"Not Found")</f>
        <v>45662</v>
      </c>
      <c r="O87" s="21">
        <f t="array" ref="O87">IFERROR(INDEX('Strategy Watchlist'!P:P,MATCH($A87,'Strategy Watchlist'!$A:$A,0)),"Not Found")</f>
        <v>-3.88</v>
      </c>
      <c r="P87" s="21">
        <f t="array" ref="P87">IFERROR(INDEX('Strategy Watchlist'!Q:Q,MATCH($A87,'Strategy Watchlist'!$A:$A,0)),"Not Found")</f>
        <v>5.91</v>
      </c>
      <c r="Q87" s="21">
        <f t="array" ref="Q87">IFERROR(INDEX('Strategy Watchlist'!R:R,MATCH($A87,'Strategy Watchlist'!$A:$A,0)),"Not Found")</f>
        <v>-0.08</v>
      </c>
      <c r="R87" s="21">
        <f t="array" ref="R87">IFERROR(INDEX('Strategy Watchlist'!S:S,MATCH($A87,'Strategy Watchlist'!$A:$A,0)),"Not Found")</f>
        <v>4.72</v>
      </c>
      <c r="S87" s="21">
        <f t="array" ref="S87">IFERROR(INDEX('Strategy Watchlist'!T:T,MATCH($A87,'Strategy Watchlist'!$A:$A,0)),"Not Found")</f>
        <v>8.93</v>
      </c>
      <c r="T87" s="21">
        <f t="array" ref="T87">IFERROR(INDEX('Strategy Watchlist'!U:U,MATCH($A87,'Strategy Watchlist'!$A:$A,0)),"Not Found")</f>
        <v>2.69</v>
      </c>
      <c r="U87" s="21">
        <f t="array" ref="U87">IFERROR(INDEX('Strategy Watchlist'!V:V,MATCH($A87,'Strategy Watchlist'!$A:$A,0)),"Not Found")</f>
        <v>2.04</v>
      </c>
      <c r="V87" s="21">
        <f t="array" ref="V87">IFERROR(INDEX('Strategy Watchlist'!W:W,MATCH($A87,'Strategy Watchlist'!$A:$A,0)),"Not Found")</f>
        <v>5.31</v>
      </c>
      <c r="W87" s="21">
        <f t="array" ref="W87">IFERROR(INDEX('Strategy Watchlist'!X:X,MATCH($A87,'Strategy Watchlist'!$A:$A,0)),"Not Found")</f>
        <v>0.72</v>
      </c>
      <c r="X87" s="21">
        <f t="array" ref="X87">IFERROR(INDEX('Strategy Watchlist'!Y:Y,MATCH($A87,'Strategy Watchlist'!$A:$A,0)),"Not Found")</f>
        <v>3.27</v>
      </c>
      <c r="Y87" s="22" t="str">
        <f t="array" ref="Y87">IFERROR(INDEX('Strategy Watchlist'!Z:Z,MATCH($A87,'Strategy Watchlist'!$A:$A,0)),"Not Found")</f>
        <v>https://www.tradingview.com/chart/Dvd9vGt5/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</row>
    <row r="88" spans="1:119" ht="14.25" customHeight="1" x14ac:dyDescent="0.2">
      <c r="A88" s="17" t="str">
        <f t="shared" si="27"/>
        <v>[e92283ec]|HBAR|Heiken-Ashi|30m</v>
      </c>
      <c r="B88" s="17" t="s">
        <v>28</v>
      </c>
      <c r="C88" s="17">
        <f t="shared" si="28"/>
        <v>0.3</v>
      </c>
      <c r="D88" s="17" t="s">
        <v>35</v>
      </c>
      <c r="E88" s="17" t="s">
        <v>36</v>
      </c>
      <c r="F88" s="17" t="s">
        <v>37</v>
      </c>
      <c r="G88" s="23" t="s">
        <v>38</v>
      </c>
      <c r="H88" s="24">
        <v>30000</v>
      </c>
      <c r="I88" s="24">
        <f t="shared" si="29"/>
        <v>6300</v>
      </c>
      <c r="J88" s="24"/>
      <c r="K88" s="17">
        <v>300</v>
      </c>
      <c r="L88" s="19">
        <f t="array" ref="L88">IFERROR(INDEX('Strategy Watchlist'!L:L,MATCH($A88,'Strategy Watchlist'!$A:$A,0)),"Not Found")</f>
        <v>6.7744000000000009</v>
      </c>
      <c r="M88" s="12">
        <f t="array" ref="M88">IFERROR(INDEX('Strategy Watchlist'!M:M,MATCH($A88,'Strategy Watchlist'!$A:$A,0)),"Not Found")</f>
        <v>224</v>
      </c>
      <c r="N88" s="20">
        <f t="array" ref="N88">IFERROR(INDEX('Strategy Watchlist'!N:N,MATCH($A88,'Strategy Watchlist'!$A:$A,0)),"Not Found")</f>
        <v>45833</v>
      </c>
      <c r="O88" s="21">
        <f t="array" ref="O88">IFERROR(INDEX('Strategy Watchlist'!P:P,MATCH($A88,'Strategy Watchlist'!$A:$A,0)),"Not Found")</f>
        <v>1.01</v>
      </c>
      <c r="P88" s="21">
        <f t="array" ref="P88">IFERROR(INDEX('Strategy Watchlist'!Q:Q,MATCH($A88,'Strategy Watchlist'!$A:$A,0)),"Not Found")</f>
        <v>-1.1499999999999999</v>
      </c>
      <c r="Q88" s="21">
        <f t="array" ref="Q88">IFERROR(INDEX('Strategy Watchlist'!R:R,MATCH($A88,'Strategy Watchlist'!$A:$A,0)),"Not Found")</f>
        <v>0.83</v>
      </c>
      <c r="R88" s="21">
        <f t="array" ref="R88">IFERROR(INDEX('Strategy Watchlist'!S:S,MATCH($A88,'Strategy Watchlist'!$A:$A,0)),"Not Found")</f>
        <v>1.52</v>
      </c>
      <c r="S88" s="21">
        <f t="array" ref="S88">IFERROR(INDEX('Strategy Watchlist'!T:T,MATCH($A88,'Strategy Watchlist'!$A:$A,0)),"Not Found")</f>
        <v>-0.03</v>
      </c>
      <c r="T88" s="21">
        <f t="array" ref="T88">IFERROR(INDEX('Strategy Watchlist'!U:U,MATCH($A88,'Strategy Watchlist'!$A:$A,0)),"Not Found")</f>
        <v>4.38</v>
      </c>
      <c r="U88" s="21">
        <f t="array" ref="U88">IFERROR(INDEX('Strategy Watchlist'!V:V,MATCH($A88,'Strategy Watchlist'!$A:$A,0)),"Not Found")</f>
        <v>1.95</v>
      </c>
      <c r="V88" s="21">
        <f t="array" ref="V88">IFERROR(INDEX('Strategy Watchlist'!W:W,MATCH($A88,'Strategy Watchlist'!$A:$A,0)),"Not Found")</f>
        <v>1.98</v>
      </c>
      <c r="W88" s="21">
        <f t="array" ref="W88">IFERROR(INDEX('Strategy Watchlist'!X:X,MATCH($A88,'Strategy Watchlist'!$A:$A,0)),"Not Found")</f>
        <v>4.59</v>
      </c>
      <c r="X88" s="21">
        <f t="array" ref="X88">IFERROR(INDEX('Strategy Watchlist'!Y:Y,MATCH($A88,'Strategy Watchlist'!$A:$A,0)),"Not Found")</f>
        <v>-1.3</v>
      </c>
      <c r="Y88" s="22" t="str">
        <f t="array" ref="Y88">IFERROR(INDEX('Strategy Watchlist'!Z:Z,MATCH($A88,'Strategy Watchlist'!$A:$A,0)),"Not Found")</f>
        <v>https://www.tradingview.com/chart/ygHXwF84/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</row>
    <row r="89" spans="1:119" ht="14.25" customHeight="1" x14ac:dyDescent="0.2">
      <c r="A89" s="17" t="str">
        <f t="shared" si="27"/>
        <v>[492724a5]|SOL|TTMS|30m</v>
      </c>
      <c r="B89" s="17" t="s">
        <v>28</v>
      </c>
      <c r="C89" s="17">
        <f t="shared" si="28"/>
        <v>0.35</v>
      </c>
      <c r="D89" s="17" t="s">
        <v>110</v>
      </c>
      <c r="E89" s="17" t="s">
        <v>43</v>
      </c>
      <c r="F89" s="17" t="s">
        <v>111</v>
      </c>
      <c r="G89" s="17" t="s">
        <v>38</v>
      </c>
      <c r="H89" s="17">
        <v>35000</v>
      </c>
      <c r="I89" s="24">
        <f t="shared" si="29"/>
        <v>7350</v>
      </c>
      <c r="J89" s="24">
        <f>3.3*196</f>
        <v>646.79999999999995</v>
      </c>
      <c r="K89" s="17">
        <v>250</v>
      </c>
      <c r="L89" s="19">
        <f t="array" ref="L89">IFERROR(INDEX('Strategy Watchlist'!L:L,MATCH($A89,'Strategy Watchlist'!$A:$A,0)),"Not Found")</f>
        <v>4.2563291139240498</v>
      </c>
      <c r="M89" s="12">
        <f t="array" ref="M89">IFERROR(INDEX('Strategy Watchlist'!M:M,MATCH($A89,'Strategy Watchlist'!$A:$A,0)),"Not Found")</f>
        <v>482</v>
      </c>
      <c r="N89" s="20">
        <f t="array" ref="N89">IFERROR(INDEX('Strategy Watchlist'!N:N,MATCH($A89,'Strategy Watchlist'!$A:$A,0)),"Not Found")</f>
        <v>45863</v>
      </c>
      <c r="O89" s="21">
        <f t="array" ref="O89">IFERROR(INDEX('Strategy Watchlist'!P:P,MATCH($A89,'Strategy Watchlist'!$A:$A,0)),"Not Found")</f>
        <v>1.71</v>
      </c>
      <c r="P89" s="21">
        <f t="array" ref="P89">IFERROR(INDEX('Strategy Watchlist'!Q:Q,MATCH($A89,'Strategy Watchlist'!$A:$A,0)),"Not Found")</f>
        <v>-0.73</v>
      </c>
      <c r="Q89" s="21">
        <f t="array" ref="Q89">IFERROR(INDEX('Strategy Watchlist'!R:R,MATCH($A89,'Strategy Watchlist'!$A:$A,0)),"Not Found")</f>
        <v>-2.65</v>
      </c>
      <c r="R89" s="21">
        <f t="array" ref="R89">IFERROR(INDEX('Strategy Watchlist'!S:S,MATCH($A89,'Strategy Watchlist'!$A:$A,0)),"Not Found")</f>
        <v>1.44</v>
      </c>
      <c r="S89" s="21">
        <f t="array" ref="S89">IFERROR(INDEX('Strategy Watchlist'!T:T,MATCH($A89,'Strategy Watchlist'!$A:$A,0)),"Not Found")</f>
        <v>1.63</v>
      </c>
      <c r="T89" s="21">
        <f t="array" ref="T89">IFERROR(INDEX('Strategy Watchlist'!U:U,MATCH($A89,'Strategy Watchlist'!$A:$A,0)),"Not Found")</f>
        <v>2.29</v>
      </c>
      <c r="U89" s="21">
        <f t="array" ref="U89">IFERROR(INDEX('Strategy Watchlist'!V:V,MATCH($A89,'Strategy Watchlist'!$A:$A,0)),"Not Found")</f>
        <v>0.11</v>
      </c>
      <c r="V89" s="21">
        <f t="array" ref="V89">IFERROR(INDEX('Strategy Watchlist'!W:W,MATCH($A89,'Strategy Watchlist'!$A:$A,0)),"Not Found")</f>
        <v>-0.42</v>
      </c>
      <c r="W89" s="21">
        <f t="array" ref="W89">IFERROR(INDEX('Strategy Watchlist'!X:X,MATCH($A89,'Strategy Watchlist'!$A:$A,0)),"Not Found")</f>
        <v>2.36</v>
      </c>
      <c r="X89" s="21">
        <f t="array" ref="X89">IFERROR(INDEX('Strategy Watchlist'!Y:Y,MATCH($A89,'Strategy Watchlist'!$A:$A,0)),"Not Found")</f>
        <v>6.03</v>
      </c>
      <c r="Y89" s="22" t="str">
        <f t="array" ref="Y89">IFERROR(INDEX('Strategy Watchlist'!Z:Z,MATCH($A89,'Strategy Watchlist'!$A:$A,0)),"Not Found")</f>
        <v>https://www.tradingview.com/chart/iSq6XFCC/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</row>
    <row r="90" spans="1:119" x14ac:dyDescent="0.2">
      <c r="A90" s="17" t="str">
        <f t="shared" si="27"/>
        <v>|APE|precisionTrend|30m</v>
      </c>
      <c r="B90" s="17" t="s">
        <v>28</v>
      </c>
      <c r="C90" s="17">
        <f t="shared" si="28"/>
        <v>0.3</v>
      </c>
      <c r="D90" s="17"/>
      <c r="E90" s="17" t="s">
        <v>53</v>
      </c>
      <c r="F90" s="17" t="s">
        <v>54</v>
      </c>
      <c r="G90" s="17" t="s">
        <v>38</v>
      </c>
      <c r="H90" s="24">
        <v>30000</v>
      </c>
      <c r="I90" s="24">
        <v>630</v>
      </c>
      <c r="J90" s="24">
        <v>660</v>
      </c>
      <c r="K90" s="17">
        <v>200</v>
      </c>
      <c r="L90" s="19">
        <f t="array" ref="L90">IFERROR(INDEX('Strategy Watchlist'!L:L,MATCH($A90,'Strategy Watchlist'!$A:$A,0)),"Not Found")</f>
        <v>4.1660424469413231</v>
      </c>
      <c r="M90" s="12">
        <f t="array" ref="M90">IFERROR(INDEX('Strategy Watchlist'!M:M,MATCH($A90,'Strategy Watchlist'!$A:$A,0)),"Not Found")</f>
        <v>278</v>
      </c>
      <c r="N90" s="20">
        <f t="array" ref="N90">IFERROR(INDEX('Strategy Watchlist'!N:N,MATCH($A90,'Strategy Watchlist'!$A:$A,0)),"Not Found")</f>
        <v>45778</v>
      </c>
      <c r="O90" s="21">
        <f t="array" ref="O90">IFERROR(INDEX('Strategy Watchlist'!P:P,MATCH($A90,'Strategy Watchlist'!$A:$A,0)),"Not Found")</f>
        <v>-0.99</v>
      </c>
      <c r="P90" s="21">
        <f t="array" ref="P90">IFERROR(INDEX('Strategy Watchlist'!Q:Q,MATCH($A90,'Strategy Watchlist'!$A:$A,0)),"Not Found")</f>
        <v>3</v>
      </c>
      <c r="Q90" s="21">
        <f t="array" ref="Q90">IFERROR(INDEX('Strategy Watchlist'!R:R,MATCH($A90,'Strategy Watchlist'!$A:$A,0)),"Not Found")</f>
        <v>1.66</v>
      </c>
      <c r="R90" s="21">
        <f t="array" ref="R90">IFERROR(INDEX('Strategy Watchlist'!S:S,MATCH($A90,'Strategy Watchlist'!$A:$A,0)),"Not Found")</f>
        <v>-2.79</v>
      </c>
      <c r="S90" s="21">
        <f t="array" ref="S90">IFERROR(INDEX('Strategy Watchlist'!T:T,MATCH($A90,'Strategy Watchlist'!$A:$A,0)),"Not Found")</f>
        <v>0.63</v>
      </c>
      <c r="T90" s="21">
        <f t="array" ref="T90">IFERROR(INDEX('Strategy Watchlist'!U:U,MATCH($A90,'Strategy Watchlist'!$A:$A,0)),"Not Found")</f>
        <v>6.17</v>
      </c>
      <c r="U90" s="21">
        <f t="array" ref="U90">IFERROR(INDEX('Strategy Watchlist'!V:V,MATCH($A90,'Strategy Watchlist'!$A:$A,0)),"Not Found")</f>
        <v>3.56</v>
      </c>
      <c r="V90" s="21">
        <f t="array" ref="V90">IFERROR(INDEX('Strategy Watchlist'!W:W,MATCH($A90,'Strategy Watchlist'!$A:$A,0)),"Not Found")</f>
        <v>0.87</v>
      </c>
      <c r="W90" s="21">
        <f t="array" ref="W90">IFERROR(INDEX('Strategy Watchlist'!X:X,MATCH($A90,'Strategy Watchlist'!$A:$A,0)),"Not Found")</f>
        <v>1.73</v>
      </c>
      <c r="X90" s="21">
        <f t="array" ref="X90">IFERROR(INDEX('Strategy Watchlist'!Y:Y,MATCH($A90,'Strategy Watchlist'!$A:$A,0)),"Not Found")</f>
        <v>3.54</v>
      </c>
      <c r="Y90" s="22" t="str">
        <f t="array" ref="Y90">IFERROR(INDEX('Strategy Watchlist'!Z:Z,MATCH($A90,'Strategy Watchlist'!$A:$A,0)),"Not Found")</f>
        <v>https://www.tradingview.com/chart/oDhEAePi/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</row>
    <row r="91" spans="1:119" ht="14.25" customHeight="1" x14ac:dyDescent="0.2">
      <c r="A91" s="17" t="str">
        <f t="shared" si="27"/>
        <v>[65caeaa0]|ROSE|WolfnBear|1H</v>
      </c>
      <c r="B91" s="17" t="s">
        <v>28</v>
      </c>
      <c r="C91" s="17">
        <f t="shared" si="28"/>
        <v>0.4</v>
      </c>
      <c r="D91" s="17" t="s">
        <v>49</v>
      </c>
      <c r="E91" s="17" t="s">
        <v>50</v>
      </c>
      <c r="F91" s="17" t="s">
        <v>51</v>
      </c>
      <c r="G91" s="17" t="s">
        <v>52</v>
      </c>
      <c r="H91" s="24">
        <v>40000</v>
      </c>
      <c r="I91" s="24">
        <f t="shared" ref="I91:I94" si="30">H91*0.21</f>
        <v>8400</v>
      </c>
      <c r="J91" s="24">
        <v>780</v>
      </c>
      <c r="K91" s="17">
        <v>240</v>
      </c>
      <c r="L91" s="19">
        <f t="array" ref="L91">IFERROR(INDEX('Strategy Watchlist'!L:L,MATCH($A91,'Strategy Watchlist'!$A:$A,0)),"Not Found")</f>
        <v>9.1257485029940124</v>
      </c>
      <c r="M91" s="12">
        <f t="array" ref="M91">IFERROR(INDEX('Strategy Watchlist'!M:M,MATCH($A91,'Strategy Watchlist'!$A:$A,0)),"Not Found")</f>
        <v>172</v>
      </c>
      <c r="N91" s="20">
        <f t="array" ref="N91">IFERROR(INDEX('Strategy Watchlist'!N:N,MATCH($A91,'Strategy Watchlist'!$A:$A,0)),"Not Found")</f>
        <v>45682</v>
      </c>
      <c r="O91" s="21">
        <f t="array" ref="O91">IFERROR(INDEX('Strategy Watchlist'!P:P,MATCH($A91,'Strategy Watchlist'!$A:$A,0)),"Not Found")</f>
        <v>1.04</v>
      </c>
      <c r="P91" s="21">
        <f t="array" ref="P91">IFERROR(INDEX('Strategy Watchlist'!Q:Q,MATCH($A91,'Strategy Watchlist'!$A:$A,0)),"Not Found")</f>
        <v>2.39</v>
      </c>
      <c r="Q91" s="21">
        <f t="array" ref="Q91">IFERROR(INDEX('Strategy Watchlist'!R:R,MATCH($A91,'Strategy Watchlist'!$A:$A,0)),"Not Found")</f>
        <v>0.38</v>
      </c>
      <c r="R91" s="21">
        <f t="array" ref="R91">IFERROR(INDEX('Strategy Watchlist'!S:S,MATCH($A91,'Strategy Watchlist'!$A:$A,0)),"Not Found")</f>
        <v>1.76</v>
      </c>
      <c r="S91" s="21">
        <f t="array" ref="S91">IFERROR(INDEX('Strategy Watchlist'!T:T,MATCH($A91,'Strategy Watchlist'!$A:$A,0)),"Not Found")</f>
        <v>0.72</v>
      </c>
      <c r="T91" s="21">
        <f t="array" ref="T91">IFERROR(INDEX('Strategy Watchlist'!U:U,MATCH($A91,'Strategy Watchlist'!$A:$A,0)),"Not Found")</f>
        <v>-0.84</v>
      </c>
      <c r="U91" s="21">
        <f t="array" ref="U91">IFERROR(INDEX('Strategy Watchlist'!V:V,MATCH($A91,'Strategy Watchlist'!$A:$A,0)),"Not Found")</f>
        <v>-0.24</v>
      </c>
      <c r="V91" s="21">
        <f t="array" ref="V91">IFERROR(INDEX('Strategy Watchlist'!W:W,MATCH($A91,'Strategy Watchlist'!$A:$A,0)),"Not Found")</f>
        <v>-1.19</v>
      </c>
      <c r="W91" s="21">
        <f t="array" ref="W91">IFERROR(INDEX('Strategy Watchlist'!X:X,MATCH($A91,'Strategy Watchlist'!$A:$A,0)),"Not Found")</f>
        <v>0.18</v>
      </c>
      <c r="X91" s="21">
        <f t="array" ref="X91">IFERROR(INDEX('Strategy Watchlist'!Y:Y,MATCH($A91,'Strategy Watchlist'!$A:$A,0)),"Not Found")</f>
        <v>2.34</v>
      </c>
      <c r="Y91" s="22" t="str">
        <f t="array" ref="Y91">IFERROR(INDEX('Strategy Watchlist'!Z:Z,MATCH($A91,'Strategy Watchlist'!$A:$A,0)),"Not Found")</f>
        <v>https://www.tradingview.com/chart/p2Bvj1LX/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</row>
    <row r="92" spans="1:119" ht="14.25" customHeight="1" x14ac:dyDescent="0.2">
      <c r="A92" s="17" t="str">
        <f t="shared" si="27"/>
        <v>[b39d1d6e]|PIXEL|WolfnBear|1H</v>
      </c>
      <c r="B92" s="1" t="s">
        <v>28</v>
      </c>
      <c r="C92" s="17">
        <f t="shared" si="28"/>
        <v>0.35</v>
      </c>
      <c r="D92" s="58" t="s">
        <v>93</v>
      </c>
      <c r="E92" s="1" t="s">
        <v>94</v>
      </c>
      <c r="F92" s="1" t="s">
        <v>51</v>
      </c>
      <c r="G92" s="1" t="s">
        <v>52</v>
      </c>
      <c r="H92" s="2">
        <v>35000</v>
      </c>
      <c r="I92" s="40">
        <f t="shared" si="30"/>
        <v>7350</v>
      </c>
      <c r="J92" s="2">
        <f t="shared" ref="J92:J94" si="31">I92</f>
        <v>7350</v>
      </c>
      <c r="K92" s="2">
        <v>240</v>
      </c>
      <c r="L92" s="19">
        <f t="array" ref="L92">IFERROR(INDEX('Strategy Watchlist'!L:L,MATCH($A92,'Strategy Watchlist'!$A:$A,0)),"Not Found")</f>
        <v>6.7377398720682304</v>
      </c>
      <c r="M92" s="12">
        <f t="array" ref="M92">IFERROR(INDEX('Strategy Watchlist'!M:M,MATCH($A92,'Strategy Watchlist'!$A:$A,0)),"Not Found")</f>
        <v>124</v>
      </c>
      <c r="N92" s="20">
        <f t="array" ref="N92">IFERROR(INDEX('Strategy Watchlist'!N:N,MATCH($A92,'Strategy Watchlist'!$A:$A,0)),"Not Found")</f>
        <v>45833</v>
      </c>
      <c r="O92" s="21">
        <f t="array" ref="O92">IFERROR(INDEX('Strategy Watchlist'!P:P,MATCH($A92,'Strategy Watchlist'!$A:$A,0)),"Not Found")</f>
        <v>1.78</v>
      </c>
      <c r="P92" s="21">
        <f t="array" ref="P92">IFERROR(INDEX('Strategy Watchlist'!Q:Q,MATCH($A92,'Strategy Watchlist'!$A:$A,0)),"Not Found")</f>
        <v>-0.57999999999999996</v>
      </c>
      <c r="Q92" s="21">
        <f t="array" ref="Q92">IFERROR(INDEX('Strategy Watchlist'!R:R,MATCH($A92,'Strategy Watchlist'!$A:$A,0)),"Not Found")</f>
        <v>2.67</v>
      </c>
      <c r="R92" s="21">
        <f t="array" ref="R92">IFERROR(INDEX('Strategy Watchlist'!S:S,MATCH($A92,'Strategy Watchlist'!$A:$A,0)),"Not Found")</f>
        <v>4.07</v>
      </c>
      <c r="S92" s="21">
        <f t="array" ref="S92">IFERROR(INDEX('Strategy Watchlist'!T:T,MATCH($A92,'Strategy Watchlist'!$A:$A,0)),"Not Found")</f>
        <v>2.2999999999999998</v>
      </c>
      <c r="T92" s="21">
        <f t="array" ref="T92">IFERROR(INDEX('Strategy Watchlist'!U:U,MATCH($A92,'Strategy Watchlist'!$A:$A,0)),"Not Found")</f>
        <v>1.05</v>
      </c>
      <c r="U92" s="21">
        <f t="array" ref="U92">IFERROR(INDEX('Strategy Watchlist'!V:V,MATCH($A92,'Strategy Watchlist'!$A:$A,0)),"Not Found")</f>
        <v>-1.1299999999999999</v>
      </c>
      <c r="V92" s="21">
        <f t="array" ref="V92">IFERROR(INDEX('Strategy Watchlist'!W:W,MATCH($A92,'Strategy Watchlist'!$A:$A,0)),"Not Found")</f>
        <v>0.64</v>
      </c>
      <c r="W92" s="21">
        <f t="array" ref="W92">IFERROR(INDEX('Strategy Watchlist'!X:X,MATCH($A92,'Strategy Watchlist'!$A:$A,0)),"Not Found")</f>
        <v>-0.53</v>
      </c>
      <c r="X92" s="21">
        <f t="array" ref="X92">IFERROR(INDEX('Strategy Watchlist'!Y:Y,MATCH($A92,'Strategy Watchlist'!$A:$A,0)),"Not Found")</f>
        <v>-0.16</v>
      </c>
      <c r="Y92" s="22" t="str">
        <f t="array" ref="Y92">IFERROR(INDEX('Strategy Watchlist'!Z:Z,MATCH($A92,'Strategy Watchlist'!$A:$A,0)),"Not Found")</f>
        <v>https://www.tradingview.com/chart/7HMGQSsJ/</v>
      </c>
      <c r="Z92" s="58"/>
      <c r="AA92" s="58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 t="s">
        <v>62</v>
      </c>
      <c r="AV92" s="1" t="s">
        <v>95</v>
      </c>
      <c r="AW92" s="1" t="s">
        <v>94</v>
      </c>
      <c r="AX92" s="1" t="s">
        <v>51</v>
      </c>
      <c r="AY92" s="18">
        <v>8.125</v>
      </c>
      <c r="AZ92" s="4">
        <v>124</v>
      </c>
      <c r="BA92" s="1" t="s">
        <v>52</v>
      </c>
      <c r="BB92" s="76">
        <v>45833</v>
      </c>
      <c r="BC92" s="77">
        <v>-0.09</v>
      </c>
      <c r="BD92" s="77">
        <v>2.89</v>
      </c>
      <c r="BE92" s="77">
        <v>4.46</v>
      </c>
      <c r="BF92" s="77">
        <v>2.52</v>
      </c>
      <c r="BG92" s="77">
        <v>1.25</v>
      </c>
      <c r="BH92" s="77">
        <v>-1.1299999999999999</v>
      </c>
      <c r="BI92" s="77">
        <v>0.64</v>
      </c>
      <c r="BJ92" s="77">
        <v>-0.53</v>
      </c>
      <c r="BK92" s="77">
        <v>-0.16</v>
      </c>
      <c r="BL92" s="1" t="s">
        <v>93</v>
      </c>
      <c r="BM92" s="1" t="s">
        <v>96</v>
      </c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</row>
    <row r="93" spans="1:119" ht="14.25" customHeight="1" x14ac:dyDescent="0.2">
      <c r="A93" s="39" t="str">
        <f t="shared" si="27"/>
        <v>[8a00ecfa]|ADA|JpTrendForce|1H</v>
      </c>
      <c r="B93" s="78" t="s">
        <v>28</v>
      </c>
      <c r="C93" s="17">
        <f t="shared" si="28"/>
        <v>0.24</v>
      </c>
      <c r="D93" s="3" t="s">
        <v>97</v>
      </c>
      <c r="E93" s="78" t="s">
        <v>98</v>
      </c>
      <c r="F93" s="78" t="s">
        <v>99</v>
      </c>
      <c r="G93" s="78" t="s">
        <v>52</v>
      </c>
      <c r="H93" s="17">
        <v>24000</v>
      </c>
      <c r="I93" s="24">
        <f t="shared" si="30"/>
        <v>5040</v>
      </c>
      <c r="J93" s="24">
        <f t="shared" si="31"/>
        <v>5040</v>
      </c>
      <c r="K93" s="1">
        <v>300</v>
      </c>
      <c r="L93" s="18">
        <f>38.28/5.19</f>
        <v>7.3757225433526008</v>
      </c>
      <c r="M93" s="4">
        <v>160</v>
      </c>
      <c r="N93" s="79">
        <v>45682</v>
      </c>
      <c r="O93" s="21">
        <f t="array" ref="O93">IFERROR(INDEX('Strategy Watchlist'!P:P,MATCH($A93,'Strategy Watchlist'!$A:$A,0)),"Not Found")</f>
        <v>3.77</v>
      </c>
      <c r="P93" s="3">
        <v>-1.61</v>
      </c>
      <c r="Q93" s="3">
        <v>1.35</v>
      </c>
      <c r="R93" s="3">
        <v>2.58</v>
      </c>
      <c r="S93" s="3">
        <v>3.16</v>
      </c>
      <c r="T93" s="3">
        <v>1.52</v>
      </c>
      <c r="U93" s="3">
        <v>-1.1000000000000001</v>
      </c>
      <c r="V93" s="3">
        <v>-1.24</v>
      </c>
      <c r="W93" s="3">
        <v>0</v>
      </c>
      <c r="X93" s="3">
        <v>0</v>
      </c>
      <c r="Y93" s="80" t="s">
        <v>100</v>
      </c>
      <c r="Z93" s="3"/>
      <c r="AA93" s="3"/>
      <c r="AB93" s="3"/>
      <c r="AC93" s="3"/>
      <c r="AD93" s="3"/>
      <c r="AU93" s="39" t="str">
        <f t="shared" ref="AU93:AU94" si="32">AX93&amp;"|"&amp;AY93&amp;"|"&amp;AZ93&amp;"|"&amp;BA93</f>
        <v>[8a00ecfa]|ADA|JpTrendForce|1H</v>
      </c>
      <c r="AV93" s="78" t="s">
        <v>62</v>
      </c>
      <c r="AW93" s="1"/>
      <c r="AX93" s="3" t="s">
        <v>97</v>
      </c>
      <c r="AY93" s="78" t="s">
        <v>98</v>
      </c>
      <c r="AZ93" s="78" t="s">
        <v>99</v>
      </c>
      <c r="BA93" s="78" t="s">
        <v>52</v>
      </c>
      <c r="BB93" s="18"/>
      <c r="BC93" s="18"/>
      <c r="BD93" s="18"/>
      <c r="BE93" s="18"/>
      <c r="BF93" s="18">
        <f>38.28/5.19</f>
        <v>7.3757225433526008</v>
      </c>
      <c r="BG93" s="4">
        <v>160</v>
      </c>
      <c r="BH93" s="79">
        <v>45682</v>
      </c>
      <c r="BI93" s="3">
        <v>3.77</v>
      </c>
      <c r="BJ93" s="3">
        <v>-1.61</v>
      </c>
      <c r="BK93" s="3">
        <v>1.35</v>
      </c>
      <c r="BL93" s="3">
        <v>2.58</v>
      </c>
      <c r="BM93" s="3">
        <v>3.16</v>
      </c>
      <c r="BN93" s="3">
        <v>1.52</v>
      </c>
      <c r="BO93" s="3">
        <v>-1.1000000000000001</v>
      </c>
      <c r="BP93" s="3">
        <v>-1.24</v>
      </c>
      <c r="BQ93" s="3">
        <v>0</v>
      </c>
      <c r="BR93" s="3">
        <v>0</v>
      </c>
      <c r="BS93" s="80" t="s">
        <v>100</v>
      </c>
      <c r="BT93" s="3"/>
      <c r="BU93" s="3"/>
      <c r="BV93" s="3"/>
      <c r="BW93" s="3"/>
      <c r="BX93" s="3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</row>
    <row r="94" spans="1:119" ht="14.25" customHeight="1" x14ac:dyDescent="0.2">
      <c r="A94" s="39" t="str">
        <f t="shared" si="27"/>
        <v>[fbf06b43]|MNT|Trendhoo|37m</v>
      </c>
      <c r="B94" s="42" t="s">
        <v>28</v>
      </c>
      <c r="C94" s="17">
        <f t="shared" si="28"/>
        <v>0.35</v>
      </c>
      <c r="D94" s="42" t="s">
        <v>101</v>
      </c>
      <c r="E94" s="42" t="s">
        <v>102</v>
      </c>
      <c r="F94" s="42" t="s">
        <v>67</v>
      </c>
      <c r="G94" s="42" t="s">
        <v>103</v>
      </c>
      <c r="H94" s="17">
        <v>35000</v>
      </c>
      <c r="I94" s="24">
        <f t="shared" si="30"/>
        <v>7350</v>
      </c>
      <c r="J94" s="24">
        <f t="shared" si="31"/>
        <v>7350</v>
      </c>
      <c r="K94" s="1">
        <v>280</v>
      </c>
      <c r="L94" s="43">
        <f>106.85/16.15</f>
        <v>6.6160990712074303</v>
      </c>
      <c r="M94" s="44">
        <v>846</v>
      </c>
      <c r="N94" s="81">
        <v>45863</v>
      </c>
      <c r="O94" s="21">
        <f t="array" ref="O94">IFERROR(INDEX('Strategy Watchlist'!P:P,MATCH($A94,'Strategy Watchlist'!$A:$A,0)),"Not Found")</f>
        <v>2.4900000000000002</v>
      </c>
      <c r="P94" s="21">
        <v>6.22</v>
      </c>
      <c r="Q94" s="21">
        <v>2.4</v>
      </c>
      <c r="R94" s="21">
        <v>14.95</v>
      </c>
      <c r="S94" s="21">
        <v>-0.75</v>
      </c>
      <c r="T94" s="21">
        <v>2.1800000000000002</v>
      </c>
      <c r="U94" s="21">
        <v>-6.96</v>
      </c>
      <c r="V94" s="21">
        <v>-0.73</v>
      </c>
      <c r="W94" s="21">
        <v>-1.92</v>
      </c>
      <c r="X94" s="21">
        <v>6.73</v>
      </c>
      <c r="Y94" s="47" t="s">
        <v>104</v>
      </c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39" t="str">
        <f t="shared" si="32"/>
        <v>[fbf06b43]|MNT|Trendhoo|37m</v>
      </c>
      <c r="AV94" s="42" t="s">
        <v>28</v>
      </c>
      <c r="AW94" s="17">
        <v>0.2</v>
      </c>
      <c r="AX94" s="42" t="s">
        <v>101</v>
      </c>
      <c r="AY94" s="42" t="s">
        <v>102</v>
      </c>
      <c r="AZ94" s="42" t="s">
        <v>67</v>
      </c>
      <c r="BA94" s="42" t="s">
        <v>103</v>
      </c>
      <c r="BB94" s="43"/>
      <c r="BC94" s="43"/>
      <c r="BD94" s="43"/>
      <c r="BE94" s="43"/>
      <c r="BF94" s="43">
        <f>106.85/16.15</f>
        <v>6.6160990712074303</v>
      </c>
      <c r="BG94" s="44">
        <v>846</v>
      </c>
      <c r="BH94" s="81">
        <v>45863</v>
      </c>
      <c r="BI94" s="21">
        <v>2.4900000000000002</v>
      </c>
      <c r="BJ94" s="21">
        <v>6.22</v>
      </c>
      <c r="BK94" s="21">
        <v>2.4</v>
      </c>
      <c r="BL94" s="21">
        <v>14.95</v>
      </c>
      <c r="BM94" s="21">
        <v>-0.75</v>
      </c>
      <c r="BN94" s="21">
        <v>2.1800000000000002</v>
      </c>
      <c r="BO94" s="21">
        <v>-6.96</v>
      </c>
      <c r="BP94" s="21">
        <v>-0.73</v>
      </c>
      <c r="BQ94" s="21">
        <v>-1.92</v>
      </c>
      <c r="BR94" s="21">
        <v>6.73</v>
      </c>
      <c r="BS94" s="47" t="s">
        <v>104</v>
      </c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</row>
    <row r="95" spans="1:119" ht="16.5" customHeight="1" x14ac:dyDescent="0.2">
      <c r="A95" s="37" t="str">
        <f t="shared" si="27"/>
        <v>7x|95000|100000|</v>
      </c>
      <c r="B95" s="37" t="s">
        <v>112</v>
      </c>
      <c r="C95" s="37"/>
      <c r="D95" s="37" t="s">
        <v>27</v>
      </c>
      <c r="E95" s="37">
        <v>95000</v>
      </c>
      <c r="F95" s="37">
        <v>100000</v>
      </c>
      <c r="G95" s="37"/>
      <c r="H95" s="37"/>
      <c r="I95" s="38"/>
      <c r="J95" s="38"/>
      <c r="K95" s="37"/>
      <c r="L95" s="37"/>
      <c r="M95" s="12"/>
      <c r="N95" s="37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</row>
    <row r="96" spans="1:119" ht="14.25" customHeight="1" x14ac:dyDescent="0.2">
      <c r="A96" s="17" t="str">
        <f t="shared" si="27"/>
        <v>0|LINK|McGinley|45m</v>
      </c>
      <c r="B96" s="17" t="s">
        <v>28</v>
      </c>
      <c r="C96" s="43">
        <f t="shared" ref="C96:C103" si="33">H96/$F$95</f>
        <v>0.35</v>
      </c>
      <c r="D96" s="21">
        <f>'Strategy Watchlist'!D13</f>
        <v>0</v>
      </c>
      <c r="E96" s="17" t="s">
        <v>25</v>
      </c>
      <c r="F96" s="17" t="s">
        <v>47</v>
      </c>
      <c r="G96" s="17" t="s">
        <v>32</v>
      </c>
      <c r="H96" s="24">
        <v>35000</v>
      </c>
      <c r="I96" s="24">
        <f t="shared" ref="I96:I103" si="34">H96*0.21</f>
        <v>7350</v>
      </c>
      <c r="J96" s="24">
        <v>8000</v>
      </c>
      <c r="K96" s="17">
        <v>230</v>
      </c>
      <c r="L96" s="19" t="str">
        <f t="array" ref="L96">IFERROR(INDEX('Strategy Watchlist'!L:L,MATCH($A96,'Strategy Watchlist'!$A:$A,0)),"Not Found")</f>
        <v>Not Found</v>
      </c>
      <c r="M96" s="12" t="str">
        <f t="array" ref="M96">IFERROR(INDEX('Strategy Watchlist'!M:M,MATCH($A96,'Strategy Watchlist'!$A:$A,0)),"Not Found")</f>
        <v>Not Found</v>
      </c>
      <c r="N96" s="20" t="str">
        <f t="array" ref="N96">IFERROR(INDEX('Strategy Watchlist'!N:N,MATCH($A96,'Strategy Watchlist'!$A:$A,0)),"Not Found")</f>
        <v>Not Found</v>
      </c>
      <c r="O96" s="21" t="str">
        <f t="array" ref="O96">IFERROR(INDEX('Strategy Watchlist'!P:P,MATCH($A96,'Strategy Watchlist'!$A:$A,0)),"Not Found")</f>
        <v>Not Found</v>
      </c>
      <c r="P96" s="21" t="str">
        <f t="array" ref="P96">IFERROR(INDEX('Strategy Watchlist'!Q:Q,MATCH($A96,'Strategy Watchlist'!$A:$A,0)),"Not Found")</f>
        <v>Not Found</v>
      </c>
      <c r="Q96" s="21" t="str">
        <f t="array" ref="Q96">IFERROR(INDEX('Strategy Watchlist'!R:R,MATCH($A96,'Strategy Watchlist'!$A:$A,0)),"Not Found")</f>
        <v>Not Found</v>
      </c>
      <c r="R96" s="21" t="str">
        <f t="array" ref="R96">IFERROR(INDEX('Strategy Watchlist'!S:S,MATCH($A96,'Strategy Watchlist'!$A:$A,0)),"Not Found")</f>
        <v>Not Found</v>
      </c>
      <c r="S96" s="21" t="str">
        <f t="array" ref="S96">IFERROR(INDEX('Strategy Watchlist'!T:T,MATCH($A96,'Strategy Watchlist'!$A:$A,0)),"Not Found")</f>
        <v>Not Found</v>
      </c>
      <c r="T96" s="21" t="str">
        <f t="array" ref="T96">IFERROR(INDEX('Strategy Watchlist'!U:U,MATCH($A96,'Strategy Watchlist'!$A:$A,0)),"Not Found")</f>
        <v>Not Found</v>
      </c>
      <c r="U96" s="21" t="str">
        <f t="array" ref="U96">IFERROR(INDEX('Strategy Watchlist'!V:V,MATCH($A96,'Strategy Watchlist'!$A:$A,0)),"Not Found")</f>
        <v>Not Found</v>
      </c>
      <c r="V96" s="21" t="str">
        <f t="array" ref="V96">IFERROR(INDEX('Strategy Watchlist'!W:W,MATCH($A96,'Strategy Watchlist'!$A:$A,0)),"Not Found")</f>
        <v>Not Found</v>
      </c>
      <c r="W96" s="21" t="str">
        <f t="array" ref="W96">IFERROR(INDEX('Strategy Watchlist'!X:X,MATCH($A96,'Strategy Watchlist'!$A:$A,0)),"Not Found")</f>
        <v>Not Found</v>
      </c>
      <c r="X96" s="21" t="str">
        <f t="array" ref="X96">IFERROR(INDEX('Strategy Watchlist'!Y:Y,MATCH($A96,'Strategy Watchlist'!$A:$A,0)),"Not Found")</f>
        <v>Not Found</v>
      </c>
      <c r="Y96" s="22" t="str">
        <f t="array" ref="Y96">IFERROR(INDEX('Strategy Watchlist'!Z:Z,MATCH($A96,'Strategy Watchlist'!$A:$A,0)),"Not Found")</f>
        <v>Not Found</v>
      </c>
      <c r="Z96" s="21">
        <f>'Strategy Watchlist'!AA13</f>
        <v>0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</row>
    <row r="97" spans="1:119" ht="14.25" customHeight="1" x14ac:dyDescent="0.2">
      <c r="A97" s="17" t="str">
        <f t="shared" si="27"/>
        <v>[f80d2657]|PePe|JP Trend|30m</v>
      </c>
      <c r="B97" s="17" t="s">
        <v>28</v>
      </c>
      <c r="C97" s="43">
        <f t="shared" si="33"/>
        <v>0.3</v>
      </c>
      <c r="D97" s="17" t="s">
        <v>39</v>
      </c>
      <c r="E97" s="17" t="s">
        <v>40</v>
      </c>
      <c r="F97" s="17" t="s">
        <v>41</v>
      </c>
      <c r="G97" s="23" t="s">
        <v>38</v>
      </c>
      <c r="H97" s="24">
        <v>30000</v>
      </c>
      <c r="I97" s="24">
        <f t="shared" si="34"/>
        <v>6300</v>
      </c>
      <c r="J97" s="24">
        <v>6300</v>
      </c>
      <c r="K97" s="17">
        <v>230</v>
      </c>
      <c r="L97" s="19">
        <f t="array" ref="L97">IFERROR(INDEX('Strategy Watchlist'!L:L,MATCH($A97,'Strategy Watchlist'!$A:$A,0)),"Not Found")</f>
        <v>11.341645885286782</v>
      </c>
      <c r="M97" s="12">
        <f t="array" ref="M97">IFERROR(INDEX('Strategy Watchlist'!M:M,MATCH($A97,'Strategy Watchlist'!$A:$A,0)),"Not Found")</f>
        <v>302</v>
      </c>
      <c r="N97" s="20">
        <f t="array" ref="N97">IFERROR(INDEX('Strategy Watchlist'!N:N,MATCH($A97,'Strategy Watchlist'!$A:$A,0)),"Not Found")</f>
        <v>45662</v>
      </c>
      <c r="O97" s="21">
        <f t="array" ref="O97">IFERROR(INDEX('Strategy Watchlist'!P:P,MATCH($A97,'Strategy Watchlist'!$A:$A,0)),"Not Found")</f>
        <v>3.05</v>
      </c>
      <c r="P97" s="21">
        <f t="array" ref="P97">IFERROR(INDEX('Strategy Watchlist'!Q:Q,MATCH($A97,'Strategy Watchlist'!$A:$A,0)),"Not Found")</f>
        <v>1.52</v>
      </c>
      <c r="Q97" s="21">
        <f t="array" ref="Q97">IFERROR(INDEX('Strategy Watchlist'!R:R,MATCH($A97,'Strategy Watchlist'!$A:$A,0)),"Not Found")</f>
        <v>-3.15</v>
      </c>
      <c r="R97" s="21">
        <f t="array" ref="R97">IFERROR(INDEX('Strategy Watchlist'!S:S,MATCH($A97,'Strategy Watchlist'!$A:$A,0)),"Not Found")</f>
        <v>2.2999999999999998</v>
      </c>
      <c r="S97" s="21">
        <f t="array" ref="S97">IFERROR(INDEX('Strategy Watchlist'!T:T,MATCH($A97,'Strategy Watchlist'!$A:$A,0)),"Not Found")</f>
        <v>-0.12</v>
      </c>
      <c r="T97" s="21">
        <f t="array" ref="T97">IFERROR(INDEX('Strategy Watchlist'!U:U,MATCH($A97,'Strategy Watchlist'!$A:$A,0)),"Not Found")</f>
        <v>5.69</v>
      </c>
      <c r="U97" s="21">
        <f t="array" ref="U97">IFERROR(INDEX('Strategy Watchlist'!V:V,MATCH($A97,'Strategy Watchlist'!$A:$A,0)),"Not Found")</f>
        <v>-1.33</v>
      </c>
      <c r="V97" s="21">
        <f t="array" ref="V97">IFERROR(INDEX('Strategy Watchlist'!W:W,MATCH($A97,'Strategy Watchlist'!$A:$A,0)),"Not Found")</f>
        <v>2.12</v>
      </c>
      <c r="W97" s="21">
        <f t="array" ref="W97">IFERROR(INDEX('Strategy Watchlist'!X:X,MATCH($A97,'Strategy Watchlist'!$A:$A,0)),"Not Found")</f>
        <v>3.07</v>
      </c>
      <c r="X97" s="21">
        <f t="array" ref="X97">IFERROR(INDEX('Strategy Watchlist'!Y:Y,MATCH($A97,'Strategy Watchlist'!$A:$A,0)),"Not Found")</f>
        <v>3.75</v>
      </c>
      <c r="Y97" s="22" t="str">
        <f t="array" ref="Y97">IFERROR(INDEX('Strategy Watchlist'!Z:Z,MATCH($A97,'Strategy Watchlist'!$A:$A,0)),"Not Found")</f>
        <v>https://www.tradingview.com/chart/uNPZ2spK/</v>
      </c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</row>
    <row r="98" spans="1:119" ht="14.25" customHeight="1" x14ac:dyDescent="0.2">
      <c r="A98" s="17" t="str">
        <f t="shared" si="27"/>
        <v>[1e052093]|SOL|FlashProfit|59m</v>
      </c>
      <c r="B98" s="17" t="s">
        <v>28</v>
      </c>
      <c r="C98" s="43">
        <f t="shared" si="33"/>
        <v>0.3</v>
      </c>
      <c r="D98" s="39" t="s">
        <v>83</v>
      </c>
      <c r="E98" s="17" t="s">
        <v>43</v>
      </c>
      <c r="F98" s="17" t="s">
        <v>84</v>
      </c>
      <c r="G98" s="17" t="s">
        <v>85</v>
      </c>
      <c r="H98" s="17">
        <v>30000</v>
      </c>
      <c r="I98" s="24">
        <f t="shared" si="34"/>
        <v>6300</v>
      </c>
      <c r="J98" s="24">
        <v>8000</v>
      </c>
      <c r="K98" s="17">
        <v>300</v>
      </c>
      <c r="L98" s="19">
        <f t="array" ref="L98">IFERROR(INDEX('Strategy Watchlist'!L:L,MATCH($A98,'Strategy Watchlist'!$A:$A,0)),"Not Found")</f>
        <v>4.1988505747126439</v>
      </c>
      <c r="M98" s="12">
        <f t="array" ref="M98">IFERROR(INDEX('Strategy Watchlist'!M:M,MATCH($A98,'Strategy Watchlist'!$A:$A,0)),"Not Found")</f>
        <v>567</v>
      </c>
      <c r="N98" s="20">
        <f t="array" ref="N98">IFERROR(INDEX('Strategy Watchlist'!N:N,MATCH($A98,'Strategy Watchlist'!$A:$A,0)),"Not Found")</f>
        <v>45925</v>
      </c>
      <c r="O98" s="21">
        <f t="array" ref="O98">IFERROR(INDEX('Strategy Watchlist'!P:P,MATCH($A98,'Strategy Watchlist'!$A:$A,0)),"Not Found")</f>
        <v>0.82</v>
      </c>
      <c r="P98" s="21">
        <f t="array" ref="P98">IFERROR(INDEX('Strategy Watchlist'!Q:Q,MATCH($A98,'Strategy Watchlist'!$A:$A,0)),"Not Found")</f>
        <v>6.44</v>
      </c>
      <c r="Q98" s="21">
        <f t="array" ref="Q98">IFERROR(INDEX('Strategy Watchlist'!R:R,MATCH($A98,'Strategy Watchlist'!$A:$A,0)),"Not Found")</f>
        <v>4.43</v>
      </c>
      <c r="R98" s="21">
        <f t="array" ref="R98">IFERROR(INDEX('Strategy Watchlist'!S:S,MATCH($A98,'Strategy Watchlist'!$A:$A,0)),"Not Found")</f>
        <v>-0.32</v>
      </c>
      <c r="S98" s="21">
        <f t="array" ref="S98">IFERROR(INDEX('Strategy Watchlist'!T:T,MATCH($A98,'Strategy Watchlist'!$A:$A,0)),"Not Found")</f>
        <v>0.78</v>
      </c>
      <c r="T98" s="21">
        <f t="array" ref="T98">IFERROR(INDEX('Strategy Watchlist'!U:U,MATCH($A98,'Strategy Watchlist'!$A:$A,0)),"Not Found")</f>
        <v>2.0299999999999998</v>
      </c>
      <c r="U98" s="21">
        <f t="array" ref="U98">IFERROR(INDEX('Strategy Watchlist'!V:V,MATCH($A98,'Strategy Watchlist'!$A:$A,0)),"Not Found")</f>
        <v>0.72</v>
      </c>
      <c r="V98" s="21">
        <f t="array" ref="V98">IFERROR(INDEX('Strategy Watchlist'!W:W,MATCH($A98,'Strategy Watchlist'!$A:$A,0)),"Not Found")</f>
        <v>2.39</v>
      </c>
      <c r="W98" s="21">
        <f t="array" ref="W98">IFERROR(INDEX('Strategy Watchlist'!X:X,MATCH($A98,'Strategy Watchlist'!$A:$A,0)),"Not Found")</f>
        <v>1.96</v>
      </c>
      <c r="X98" s="21">
        <f t="array" ref="X98">IFERROR(INDEX('Strategy Watchlist'!Y:Y,MATCH($A98,'Strategy Watchlist'!$A:$A,0)),"Not Found")</f>
        <v>0.45</v>
      </c>
      <c r="Y98" s="22" t="str">
        <f t="array" ref="Y98">IFERROR(INDEX('Strategy Watchlist'!Z:Z,MATCH($A98,'Strategy Watchlist'!$A:$A,0)),"Not Found")</f>
        <v>https://www.tradingview.com/chart/mnGjsgoY/</v>
      </c>
      <c r="Z98" s="39"/>
      <c r="AA98" s="39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</row>
    <row r="99" spans="1:119" ht="14.25" customHeight="1" x14ac:dyDescent="0.2">
      <c r="A99" s="29" t="str">
        <f t="shared" si="27"/>
        <v>[ff2cc3b8]|ETH|McGingley|30m</v>
      </c>
      <c r="B99" s="29" t="s">
        <v>28</v>
      </c>
      <c r="C99" s="27">
        <f t="shared" si="33"/>
        <v>0.5</v>
      </c>
      <c r="D99" s="26" t="s">
        <v>113</v>
      </c>
      <c r="E99" s="26" t="s">
        <v>46</v>
      </c>
      <c r="F99" s="26" t="s">
        <v>79</v>
      </c>
      <c r="G99" s="26" t="s">
        <v>38</v>
      </c>
      <c r="H99" s="29">
        <v>50000</v>
      </c>
      <c r="I99" s="30">
        <f t="shared" si="34"/>
        <v>10500</v>
      </c>
      <c r="J99" s="30">
        <f>I99</f>
        <v>10500</v>
      </c>
      <c r="K99" s="29">
        <v>200</v>
      </c>
      <c r="L99" s="72">
        <f>20.99/4.18</f>
        <v>5.0215311004784686</v>
      </c>
      <c r="M99" s="75">
        <v>257</v>
      </c>
      <c r="N99" s="101">
        <v>45682</v>
      </c>
      <c r="O99" s="28">
        <v>2.78</v>
      </c>
      <c r="P99" s="28">
        <v>0.4</v>
      </c>
      <c r="Q99" s="28">
        <v>1.79</v>
      </c>
      <c r="R99" s="28">
        <v>1.17</v>
      </c>
      <c r="S99" s="28">
        <v>1.55</v>
      </c>
      <c r="T99" s="28">
        <v>2.1</v>
      </c>
      <c r="U99" s="28">
        <v>1.1499999999999999</v>
      </c>
      <c r="V99" s="28">
        <v>1.54</v>
      </c>
      <c r="W99" s="28">
        <v>0.27</v>
      </c>
      <c r="X99" s="28">
        <v>-0.02</v>
      </c>
      <c r="Y99" s="35" t="s">
        <v>114</v>
      </c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 t="s">
        <v>62</v>
      </c>
      <c r="AW99" s="29"/>
      <c r="AX99" s="26" t="s">
        <v>113</v>
      </c>
      <c r="AY99" s="26" t="s">
        <v>46</v>
      </c>
      <c r="AZ99" s="26" t="s">
        <v>79</v>
      </c>
      <c r="BA99" s="26" t="s">
        <v>38</v>
      </c>
      <c r="BB99" s="26"/>
      <c r="BC99" s="26"/>
      <c r="BD99" s="26"/>
      <c r="BE99" s="26"/>
      <c r="BF99" s="72">
        <f>20.99/4.18</f>
        <v>5.0215311004784686</v>
      </c>
      <c r="BG99" s="75">
        <v>257</v>
      </c>
      <c r="BH99" s="101">
        <v>45682</v>
      </c>
      <c r="BI99" s="28">
        <v>2.78</v>
      </c>
      <c r="BJ99" s="28">
        <v>0.4</v>
      </c>
      <c r="BK99" s="28">
        <v>1.79</v>
      </c>
      <c r="BL99" s="28">
        <v>1.17</v>
      </c>
      <c r="BM99" s="28">
        <v>1.55</v>
      </c>
      <c r="BN99" s="28">
        <v>2.1</v>
      </c>
      <c r="BO99" s="28">
        <v>1.1499999999999999</v>
      </c>
      <c r="BP99" s="28">
        <v>1.54</v>
      </c>
      <c r="BQ99" s="28">
        <v>0.27</v>
      </c>
      <c r="BR99" s="28">
        <v>-0.02</v>
      </c>
      <c r="BS99" s="35" t="s">
        <v>114</v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</row>
    <row r="100" spans="1:119" ht="14.25" customHeight="1" x14ac:dyDescent="0.2">
      <c r="A100" s="17" t="str">
        <f t="shared" si="27"/>
        <v>17.12.2024|ARB|Heiken-Ashi|45m</v>
      </c>
      <c r="B100" s="17" t="s">
        <v>28</v>
      </c>
      <c r="C100" s="43">
        <f t="shared" si="33"/>
        <v>0.24</v>
      </c>
      <c r="D100" s="39" t="s">
        <v>81</v>
      </c>
      <c r="E100" s="17" t="s">
        <v>30</v>
      </c>
      <c r="F100" s="17" t="s">
        <v>37</v>
      </c>
      <c r="G100" s="17" t="s">
        <v>32</v>
      </c>
      <c r="H100" s="17">
        <v>24000</v>
      </c>
      <c r="I100" s="24">
        <f t="shared" si="34"/>
        <v>5040</v>
      </c>
      <c r="J100" s="24">
        <v>2520</v>
      </c>
      <c r="K100" s="17">
        <v>100</v>
      </c>
      <c r="L100" s="19">
        <f t="array" ref="L100">IFERROR(INDEX('Strategy Watchlist'!L:L,MATCH($A100,'Strategy Watchlist'!$A:$A,0)),"Not Found")</f>
        <v>12.102857142857143</v>
      </c>
      <c r="M100" s="12">
        <f t="array" ref="M100">IFERROR(INDEX('Strategy Watchlist'!M:M,MATCH($A100,'Strategy Watchlist'!$A:$A,0)),"Not Found")</f>
        <v>294</v>
      </c>
      <c r="N100" s="20">
        <f t="array" ref="N100">IFERROR(INDEX('Strategy Watchlist'!N:N,MATCH($A100,'Strategy Watchlist'!$A:$A,0)),"Not Found")</f>
        <v>45772</v>
      </c>
      <c r="O100" s="21">
        <f t="array" ref="O100">IFERROR(INDEX('Strategy Watchlist'!P:P,MATCH($A100,'Strategy Watchlist'!$A:$A,0)),"Not Found")</f>
        <v>-0.88</v>
      </c>
      <c r="P100" s="21">
        <f t="array" ref="P100">IFERROR(INDEX('Strategy Watchlist'!Q:Q,MATCH($A100,'Strategy Watchlist'!$A:$A,0)),"Not Found")</f>
        <v>0.46</v>
      </c>
      <c r="Q100" s="21">
        <f t="array" ref="Q100">IFERROR(INDEX('Strategy Watchlist'!R:R,MATCH($A100,'Strategy Watchlist'!$A:$A,0)),"Not Found")</f>
        <v>-0.54</v>
      </c>
      <c r="R100" s="21">
        <f t="array" ref="R100">IFERROR(INDEX('Strategy Watchlist'!S:S,MATCH($A100,'Strategy Watchlist'!$A:$A,0)),"Not Found")</f>
        <v>4.43</v>
      </c>
      <c r="S100" s="21">
        <f t="array" ref="S100">IFERROR(INDEX('Strategy Watchlist'!T:T,MATCH($A100,'Strategy Watchlist'!$A:$A,0)),"Not Found")</f>
        <v>-0.26</v>
      </c>
      <c r="T100" s="21">
        <f t="array" ref="T100">IFERROR(INDEX('Strategy Watchlist'!U:U,MATCH($A100,'Strategy Watchlist'!$A:$A,0)),"Not Found")</f>
        <v>0.04</v>
      </c>
      <c r="U100" s="21">
        <f t="array" ref="U100">IFERROR(INDEX('Strategy Watchlist'!V:V,MATCH($A100,'Strategy Watchlist'!$A:$A,0)),"Not Found")</f>
        <v>1.27</v>
      </c>
      <c r="V100" s="21">
        <f t="array" ref="V100">IFERROR(INDEX('Strategy Watchlist'!W:W,MATCH($A100,'Strategy Watchlist'!$A:$A,0)),"Not Found")</f>
        <v>3.69</v>
      </c>
      <c r="W100" s="21">
        <f t="array" ref="W100">IFERROR(INDEX('Strategy Watchlist'!X:X,MATCH($A100,'Strategy Watchlist'!$A:$A,0)),"Not Found")</f>
        <v>-0.27</v>
      </c>
      <c r="X100" s="21">
        <f t="array" ref="X100">IFERROR(INDEX('Strategy Watchlist'!Y:Y,MATCH($A100,'Strategy Watchlist'!$A:$A,0)),"Not Found")</f>
        <v>3.17</v>
      </c>
      <c r="Y100" s="22" t="str">
        <f t="array" ref="Y100">IFERROR(INDEX('Strategy Watchlist'!Z:Z,MATCH($A100,'Strategy Watchlist'!$A:$A,0)),"Not Found")</f>
        <v>https://www.tradingview.com/chart/9cT1VRvW/</v>
      </c>
      <c r="Z100" s="39"/>
      <c r="AA100" s="39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</row>
    <row r="101" spans="1:119" ht="14.25" customHeight="1" x14ac:dyDescent="0.2">
      <c r="A101" s="17" t="str">
        <f t="shared" si="27"/>
        <v>[da58bf67]|NEAR|Trendhoo|30m</v>
      </c>
      <c r="B101" s="42" t="s">
        <v>28</v>
      </c>
      <c r="C101" s="43">
        <f t="shared" si="33"/>
        <v>0.24</v>
      </c>
      <c r="D101" s="21" t="s">
        <v>87</v>
      </c>
      <c r="E101" s="42" t="s">
        <v>57</v>
      </c>
      <c r="F101" s="17" t="s">
        <v>67</v>
      </c>
      <c r="G101" s="42" t="s">
        <v>38</v>
      </c>
      <c r="H101" s="17">
        <v>24000</v>
      </c>
      <c r="I101" s="24">
        <f t="shared" si="34"/>
        <v>5040</v>
      </c>
      <c r="J101" s="24">
        <v>4500</v>
      </c>
      <c r="K101" s="24">
        <v>180</v>
      </c>
      <c r="L101" s="19">
        <f t="array" ref="L101">IFERROR(INDEX('Strategy Watchlist'!L:L,MATCH($A101,'Strategy Watchlist'!$A:$A,0)),"Not Found")</f>
        <v>5.9785234899328854</v>
      </c>
      <c r="M101" s="12">
        <f t="array" ref="M101">IFERROR(INDEX('Strategy Watchlist'!M:M,MATCH($A101,'Strategy Watchlist'!$A:$A,0)),"Not Found")</f>
        <v>188</v>
      </c>
      <c r="N101" s="20">
        <f t="array" ref="N101">IFERROR(INDEX('Strategy Watchlist'!N:N,MATCH($A101,'Strategy Watchlist'!$A:$A,0)),"Not Found")</f>
        <v>45802</v>
      </c>
      <c r="O101" s="21">
        <f t="array" ref="O101">IFERROR(INDEX('Strategy Watchlist'!P:P,MATCH($A101,'Strategy Watchlist'!$A:$A,0)),"Not Found")</f>
        <v>0.27</v>
      </c>
      <c r="P101" s="21">
        <f t="array" ref="P101">IFERROR(INDEX('Strategy Watchlist'!Q:Q,MATCH($A101,'Strategy Watchlist'!$A:$A,0)),"Not Found")</f>
        <v>0</v>
      </c>
      <c r="Q101" s="21">
        <f t="array" ref="Q101">IFERROR(INDEX('Strategy Watchlist'!R:R,MATCH($A101,'Strategy Watchlist'!$A:$A,0)),"Not Found")</f>
        <v>4.76</v>
      </c>
      <c r="R101" s="21">
        <f t="array" ref="R101">IFERROR(INDEX('Strategy Watchlist'!S:S,MATCH($A101,'Strategy Watchlist'!$A:$A,0)),"Not Found")</f>
        <v>1.93</v>
      </c>
      <c r="S101" s="21">
        <f t="array" ref="S101">IFERROR(INDEX('Strategy Watchlist'!T:T,MATCH($A101,'Strategy Watchlist'!$A:$A,0)),"Not Found")</f>
        <v>1.34</v>
      </c>
      <c r="T101" s="21">
        <f t="array" ref="T101">IFERROR(INDEX('Strategy Watchlist'!U:U,MATCH($A101,'Strategy Watchlist'!$A:$A,0)),"Not Found")</f>
        <v>2.2999999999999998</v>
      </c>
      <c r="U101" s="21">
        <f t="array" ref="U101">IFERROR(INDEX('Strategy Watchlist'!V:V,MATCH($A101,'Strategy Watchlist'!$A:$A,0)),"Not Found")</f>
        <v>0.08</v>
      </c>
      <c r="V101" s="21">
        <f t="array" ref="V101">IFERROR(INDEX('Strategy Watchlist'!W:W,MATCH($A101,'Strategy Watchlist'!$A:$A,0)),"Not Found")</f>
        <v>1.26</v>
      </c>
      <c r="W101" s="21">
        <f t="array" ref="W101">IFERROR(INDEX('Strategy Watchlist'!X:X,MATCH($A101,'Strategy Watchlist'!$A:$A,0)),"Not Found")</f>
        <v>1.01</v>
      </c>
      <c r="X101" s="21">
        <f t="array" ref="X101">IFERROR(INDEX('Strategy Watchlist'!Y:Y,MATCH($A101,'Strategy Watchlist'!$A:$A,0)),"Not Found")</f>
        <v>5.82</v>
      </c>
      <c r="Y101" s="22" t="str">
        <f t="array" ref="Y101">IFERROR(INDEX('Strategy Watchlist'!Z:Z,MATCH($A101,'Strategy Watchlist'!$A:$A,0)),"Not Found")</f>
        <v>https://www.tradingview.com/chart/CsNPJ40O/</v>
      </c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 t="s">
        <v>62</v>
      </c>
      <c r="AV101" s="42"/>
      <c r="AW101" s="42" t="s">
        <v>57</v>
      </c>
      <c r="AX101" s="17" t="s">
        <v>67</v>
      </c>
      <c r="AY101" s="19">
        <f>44.54/7.45</f>
        <v>5.9785234899328854</v>
      </c>
      <c r="AZ101" s="46">
        <v>188</v>
      </c>
      <c r="BA101" s="42" t="s">
        <v>38</v>
      </c>
      <c r="BB101" s="81">
        <v>45802</v>
      </c>
      <c r="BC101" s="21">
        <v>-0.16</v>
      </c>
      <c r="BD101" s="21">
        <v>4.76</v>
      </c>
      <c r="BE101" s="21">
        <v>1.93</v>
      </c>
      <c r="BF101" s="21">
        <v>1.34</v>
      </c>
      <c r="BG101" s="21">
        <v>2.2999999999999998</v>
      </c>
      <c r="BH101" s="21">
        <v>0.08</v>
      </c>
      <c r="BI101" s="21">
        <v>1.26</v>
      </c>
      <c r="BJ101" s="21">
        <v>1.01</v>
      </c>
      <c r="BK101" s="21">
        <v>5.82</v>
      </c>
      <c r="BL101" s="21" t="s">
        <v>87</v>
      </c>
      <c r="BM101" s="47" t="s">
        <v>88</v>
      </c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</row>
    <row r="102" spans="1:119" x14ac:dyDescent="0.2">
      <c r="A102" s="17" t="str">
        <f t="shared" si="27"/>
        <v>[4a2ddf14]|AAVE|McGlinley|45m</v>
      </c>
      <c r="B102" s="42" t="s">
        <v>28</v>
      </c>
      <c r="C102" s="43">
        <f t="shared" si="33"/>
        <v>0.3</v>
      </c>
      <c r="D102" s="42" t="s">
        <v>89</v>
      </c>
      <c r="E102" s="42" t="s">
        <v>90</v>
      </c>
      <c r="F102" s="42" t="s">
        <v>91</v>
      </c>
      <c r="G102" s="42" t="s">
        <v>32</v>
      </c>
      <c r="H102" s="24">
        <v>30000</v>
      </c>
      <c r="I102" s="24">
        <f t="shared" si="34"/>
        <v>6300</v>
      </c>
      <c r="J102" s="24">
        <f t="shared" ref="J102:J103" si="35">I102</f>
        <v>6300</v>
      </c>
      <c r="K102" s="17">
        <v>400</v>
      </c>
      <c r="L102" s="19">
        <f t="array" ref="L102">IFERROR(INDEX('Strategy Watchlist'!L:L,MATCH($A102,'Strategy Watchlist'!$A:$A,0)),"Not Found")</f>
        <v>2.6694915254237288</v>
      </c>
      <c r="M102" s="12">
        <f t="array" ref="M102">IFERROR(INDEX('Strategy Watchlist'!M:M,MATCH($A102,'Strategy Watchlist'!$A:$A,0)),"Not Found")</f>
        <v>317</v>
      </c>
      <c r="N102" s="20">
        <f t="array" ref="N102">IFERROR(INDEX('Strategy Watchlist'!N:N,MATCH($A102,'Strategy Watchlist'!$A:$A,0)),"Not Found")</f>
        <v>45682</v>
      </c>
      <c r="O102" s="19">
        <f t="array" ref="O102">IFERROR(INDEX('Strategy Watchlist'!P:P,MATCH($A102,'Strategy Watchlist'!$A:$A,0)),"Not Found")</f>
        <v>2.66</v>
      </c>
      <c r="P102" s="19">
        <f t="array" ref="P102">IFERROR(INDEX('Strategy Watchlist'!Q:Q,MATCH($A102,'Strategy Watchlist'!$A:$A,0)),"Not Found")</f>
        <v>-0.85</v>
      </c>
      <c r="Q102" s="19">
        <f t="array" ref="Q102">IFERROR(INDEX('Strategy Watchlist'!R:R,MATCH($A102,'Strategy Watchlist'!$A:$A,0)),"Not Found")</f>
        <v>3.55</v>
      </c>
      <c r="R102" s="19">
        <f t="array" ref="R102">IFERROR(INDEX('Strategy Watchlist'!S:S,MATCH($A102,'Strategy Watchlist'!$A:$A,0)),"Not Found")</f>
        <v>1.77</v>
      </c>
      <c r="S102" s="19">
        <f t="array" ref="S102">IFERROR(INDEX('Strategy Watchlist'!T:T,MATCH($A102,'Strategy Watchlist'!$A:$A,0)),"Not Found")</f>
        <v>1.63</v>
      </c>
      <c r="T102" s="19">
        <f t="array" ref="T102">IFERROR(INDEX('Strategy Watchlist'!U:U,MATCH($A102,'Strategy Watchlist'!$A:$A,0)),"Not Found")</f>
        <v>-1.84</v>
      </c>
      <c r="U102" s="19">
        <f t="array" ref="U102">IFERROR(INDEX('Strategy Watchlist'!V:V,MATCH($A102,'Strategy Watchlist'!$A:$A,0)),"Not Found")</f>
        <v>0.2</v>
      </c>
      <c r="V102" s="19">
        <f t="array" ref="V102">IFERROR(INDEX('Strategy Watchlist'!W:W,MATCH($A102,'Strategy Watchlist'!$A:$A,0)),"Not Found")</f>
        <v>-1.49</v>
      </c>
      <c r="W102" s="19">
        <f t="array" ref="W102">IFERROR(INDEX('Strategy Watchlist'!X:X,MATCH($A102,'Strategy Watchlist'!$A:$A,0)),"Not Found")</f>
        <v>0</v>
      </c>
      <c r="X102" s="19">
        <f t="array" ref="X102">IFERROR(INDEX('Strategy Watchlist'!Y:Y,MATCH($A102,'Strategy Watchlist'!$A:$A,0)),"Not Found")</f>
        <v>0.28000000000000003</v>
      </c>
      <c r="Y102" s="22" t="str">
        <f t="array" ref="Y102">IFERROR(INDEX('Strategy Watchlist'!Z:Z,MATCH($A102,'Strategy Watchlist'!$A:$A,0)),"Not Found")</f>
        <v>https://www.tradingview.com/chart/Xt8Libni/</v>
      </c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</row>
    <row r="103" spans="1:119" ht="14.25" customHeight="1" x14ac:dyDescent="0.2">
      <c r="A103" s="25" t="str">
        <f t="shared" si="27"/>
        <v>[f2b236fa]|OP|glitchTrend|1H</v>
      </c>
      <c r="B103" s="26" t="s">
        <v>28</v>
      </c>
      <c r="C103" s="43">
        <f t="shared" si="33"/>
        <v>0.2</v>
      </c>
      <c r="D103" s="28" t="s">
        <v>59</v>
      </c>
      <c r="E103" s="26" t="s">
        <v>60</v>
      </c>
      <c r="F103" s="26" t="s">
        <v>61</v>
      </c>
      <c r="G103" s="26" t="s">
        <v>52</v>
      </c>
      <c r="H103" s="29">
        <v>20000</v>
      </c>
      <c r="I103" s="30">
        <f t="shared" si="34"/>
        <v>4200</v>
      </c>
      <c r="J103" s="30">
        <f t="shared" si="35"/>
        <v>4200</v>
      </c>
      <c r="K103" s="29">
        <v>180</v>
      </c>
      <c r="L103" s="31">
        <f>57.27/6.84</f>
        <v>8.3728070175438596</v>
      </c>
      <c r="M103" s="32">
        <v>409</v>
      </c>
      <c r="N103" s="33">
        <v>45863</v>
      </c>
      <c r="O103" s="72">
        <f t="array" ref="O103">IFERROR(INDEX('Strategy Watchlist'!P:P,MATCH($A103,'Strategy Watchlist'!$A:$A,0)),"Not Found")</f>
        <v>2.64</v>
      </c>
      <c r="P103" s="28">
        <v>0.13</v>
      </c>
      <c r="Q103" s="28">
        <v>1.69</v>
      </c>
      <c r="R103" s="28">
        <v>6.07</v>
      </c>
      <c r="S103" s="28">
        <v>-3.19</v>
      </c>
      <c r="T103" s="28">
        <v>5.27</v>
      </c>
      <c r="U103" s="28">
        <v>3.43</v>
      </c>
      <c r="V103" s="28">
        <v>2.02</v>
      </c>
      <c r="W103" s="28">
        <v>0.08</v>
      </c>
      <c r="X103" s="28">
        <v>7.85</v>
      </c>
      <c r="Y103" s="35" t="s">
        <v>63</v>
      </c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5" t="str">
        <f>AX103&amp;"|"&amp;AY103&amp;"|"&amp;AZ103&amp;"|"&amp;BA103</f>
        <v>[f2b236fa]|OP|glitchTrend|1H</v>
      </c>
      <c r="AV103" s="26" t="s">
        <v>62</v>
      </c>
      <c r="AW103" s="29"/>
      <c r="AX103" s="28" t="s">
        <v>59</v>
      </c>
      <c r="AY103" s="26" t="s">
        <v>60</v>
      </c>
      <c r="AZ103" s="26" t="s">
        <v>61</v>
      </c>
      <c r="BA103" s="26" t="s">
        <v>52</v>
      </c>
      <c r="BB103" s="31"/>
      <c r="BC103" s="31"/>
      <c r="BD103" s="31"/>
      <c r="BE103" s="31"/>
      <c r="BF103" s="31">
        <f>57.27/6.84</f>
        <v>8.3728070175438596</v>
      </c>
      <c r="BG103" s="32">
        <v>409</v>
      </c>
      <c r="BH103" s="33">
        <v>45863</v>
      </c>
      <c r="BI103" s="28">
        <v>0.5</v>
      </c>
      <c r="BJ103" s="28">
        <v>0.13</v>
      </c>
      <c r="BK103" s="28">
        <v>1.69</v>
      </c>
      <c r="BL103" s="28">
        <v>6.07</v>
      </c>
      <c r="BM103" s="28">
        <v>-3.19</v>
      </c>
      <c r="BN103" s="28">
        <v>5.27</v>
      </c>
      <c r="BO103" s="28">
        <v>3.43</v>
      </c>
      <c r="BP103" s="28">
        <v>2.02</v>
      </c>
      <c r="BQ103" s="28">
        <v>0.08</v>
      </c>
      <c r="BR103" s="28">
        <v>7.85</v>
      </c>
      <c r="BS103" s="35" t="s">
        <v>63</v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</row>
    <row r="104" spans="1:119" ht="16.5" customHeight="1" x14ac:dyDescent="0.2">
      <c r="A104" s="37" t="str">
        <f t="shared" si="27"/>
        <v>3x|95000|100000|</v>
      </c>
      <c r="B104" s="37" t="s">
        <v>115</v>
      </c>
      <c r="C104" s="37"/>
      <c r="D104" s="37" t="s">
        <v>116</v>
      </c>
      <c r="E104" s="37">
        <v>95000</v>
      </c>
      <c r="F104" s="37">
        <v>100000</v>
      </c>
      <c r="G104" s="37"/>
      <c r="H104" s="37"/>
      <c r="I104" s="38"/>
      <c r="J104" s="38"/>
      <c r="K104" s="37"/>
      <c r="L104" s="37"/>
      <c r="M104" s="12"/>
      <c r="N104" s="37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</row>
    <row r="105" spans="1:119" ht="14.25" customHeight="1" x14ac:dyDescent="0.2">
      <c r="A105" s="17" t="str">
        <f t="shared" si="27"/>
        <v>[0c4624b7]|SOL|volVangard|30m</v>
      </c>
      <c r="B105" s="1" t="s">
        <v>28</v>
      </c>
      <c r="C105" s="43">
        <f t="shared" ref="C105:C107" si="36">H105/$F$81</f>
        <v>0.3</v>
      </c>
      <c r="D105" s="1" t="s">
        <v>42</v>
      </c>
      <c r="E105" s="1" t="s">
        <v>43</v>
      </c>
      <c r="F105" s="1" t="s">
        <v>44</v>
      </c>
      <c r="G105" s="1" t="s">
        <v>38</v>
      </c>
      <c r="H105" s="2">
        <v>30000</v>
      </c>
      <c r="I105" s="2">
        <f t="shared" ref="I105:I107" si="37">H105*0.21</f>
        <v>6300</v>
      </c>
      <c r="J105" s="2">
        <v>2500</v>
      </c>
      <c r="K105" s="1">
        <v>300</v>
      </c>
      <c r="L105" s="19">
        <f t="array" ref="L105">IFERROR(INDEX('Strategy Watchlist'!L:L,MATCH($A105,'Strategy Watchlist'!$A:$A,0)),"Not Found")</f>
        <v>9.533219761499149</v>
      </c>
      <c r="M105" s="12">
        <f t="array" ref="M105">IFERROR(INDEX('Strategy Watchlist'!M:M,MATCH($A105,'Strategy Watchlist'!$A:$A,0)),"Not Found")</f>
        <v>118</v>
      </c>
      <c r="N105" s="20">
        <f t="array" ref="N105">IFERROR(INDEX('Strategy Watchlist'!N:N,MATCH($A105,'Strategy Watchlist'!$A:$A,0)),"Not Found")</f>
        <v>45772</v>
      </c>
      <c r="O105" s="21">
        <f t="array" ref="O105">IFERROR(INDEX('Strategy Watchlist'!P:P,MATCH($A105,'Strategy Watchlist'!$A:$A,0)),"Not Found")</f>
        <v>-0.99</v>
      </c>
      <c r="P105" s="21">
        <f t="array" ref="P105">IFERROR(INDEX('Strategy Watchlist'!Q:Q,MATCH($A105,'Strategy Watchlist'!$A:$A,0)),"Not Found")</f>
        <v>4.09</v>
      </c>
      <c r="Q105" s="21">
        <f t="array" ref="Q105">IFERROR(INDEX('Strategy Watchlist'!R:R,MATCH($A105,'Strategy Watchlist'!$A:$A,0)),"Not Found")</f>
        <v>0.37</v>
      </c>
      <c r="R105" s="21">
        <f t="array" ref="R105">IFERROR(INDEX('Strategy Watchlist'!S:S,MATCH($A105,'Strategy Watchlist'!$A:$A,0)),"Not Found")</f>
        <v>-3.58</v>
      </c>
      <c r="S105" s="21">
        <f t="array" ref="S105">IFERROR(INDEX('Strategy Watchlist'!T:T,MATCH($A105,'Strategy Watchlist'!$A:$A,0)),"Not Found")</f>
        <v>6.51</v>
      </c>
      <c r="T105" s="21">
        <f t="array" ref="T105">IFERROR(INDEX('Strategy Watchlist'!U:U,MATCH($A105,'Strategy Watchlist'!$A:$A,0)),"Not Found")</f>
        <v>-0.43</v>
      </c>
      <c r="U105" s="21">
        <f t="array" ref="U105">IFERROR(INDEX('Strategy Watchlist'!V:V,MATCH($A105,'Strategy Watchlist'!$A:$A,0)),"Not Found")</f>
        <v>5.78</v>
      </c>
      <c r="V105" s="21">
        <f t="array" ref="V105">IFERROR(INDEX('Strategy Watchlist'!W:W,MATCH($A105,'Strategy Watchlist'!$A:$A,0)),"Not Found")</f>
        <v>-0.64</v>
      </c>
      <c r="W105" s="21">
        <f t="array" ref="W105">IFERROR(INDEX('Strategy Watchlist'!X:X,MATCH($A105,'Strategy Watchlist'!$A:$A,0)),"Not Found")</f>
        <v>1.32</v>
      </c>
      <c r="X105" s="21">
        <f t="array" ref="X105">IFERROR(INDEX('Strategy Watchlist'!Y:Y,MATCH($A105,'Strategy Watchlist'!$A:$A,0)),"Not Found")</f>
        <v>0.33</v>
      </c>
      <c r="Y105" s="22" t="str">
        <f t="array" ref="Y105">IFERROR(INDEX('Strategy Watchlist'!Z:Z,MATCH($A105,'Strategy Watchlist'!$A:$A,0)),"Not Found")</f>
        <v>https://www.tradingview.com/chart/tJDJVri5/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</row>
    <row r="106" spans="1:119" ht="14.25" customHeight="1" x14ac:dyDescent="0.2">
      <c r="A106" s="39" t="str">
        <f t="shared" si="27"/>
        <v>[04ea3071]|BTC|AI vs Ninja Turtle|76min</v>
      </c>
      <c r="B106" s="42" t="s">
        <v>28</v>
      </c>
      <c r="C106" s="43">
        <f t="shared" si="36"/>
        <v>0.3</v>
      </c>
      <c r="D106" s="42" t="s">
        <v>72</v>
      </c>
      <c r="E106" s="42" t="s">
        <v>73</v>
      </c>
      <c r="F106" s="42" t="s">
        <v>74</v>
      </c>
      <c r="G106" s="42" t="s">
        <v>75</v>
      </c>
      <c r="H106" s="24">
        <v>30000</v>
      </c>
      <c r="I106" s="2">
        <f t="shared" si="37"/>
        <v>6300</v>
      </c>
      <c r="J106" s="24">
        <f t="shared" ref="J106:J107" si="38">I106</f>
        <v>6300</v>
      </c>
      <c r="K106" s="24">
        <v>300</v>
      </c>
      <c r="L106" s="19">
        <f>37.21/4.33</f>
        <v>8.5935334872979219</v>
      </c>
      <c r="M106" s="12">
        <v>78</v>
      </c>
      <c r="N106" s="45">
        <v>45682</v>
      </c>
      <c r="O106" s="21">
        <f t="array" ref="O106">IFERROR(INDEX('Strategy Watchlist'!P:P,MATCH($A106,'Strategy Watchlist'!$A:$A,0)),"Not Found")</f>
        <v>1.67</v>
      </c>
      <c r="P106" s="21">
        <v>0.99</v>
      </c>
      <c r="Q106" s="21">
        <v>-0.22</v>
      </c>
      <c r="R106" s="21">
        <v>2.83</v>
      </c>
      <c r="S106" s="21">
        <v>-1.36</v>
      </c>
      <c r="T106" s="21">
        <v>3.58</v>
      </c>
      <c r="U106" s="21">
        <v>-0.43</v>
      </c>
      <c r="V106" s="21">
        <v>1.1299999999999999</v>
      </c>
      <c r="W106" s="21">
        <v>1.58</v>
      </c>
      <c r="X106" s="21">
        <v>3.31</v>
      </c>
      <c r="Y106" s="47" t="s">
        <v>76</v>
      </c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39" t="str">
        <f t="shared" ref="AU106:AU107" si="39">AX106&amp;"|"&amp;AY106&amp;"|"&amp;AZ106&amp;"|"&amp;BA106</f>
        <v>[04ea3071]|BTC|AI vs Ninja Turtle|76min</v>
      </c>
      <c r="AV106" s="42" t="s">
        <v>28</v>
      </c>
      <c r="AW106" s="17"/>
      <c r="AX106" s="42" t="s">
        <v>72</v>
      </c>
      <c r="AY106" s="42" t="s">
        <v>73</v>
      </c>
      <c r="AZ106" s="42" t="s">
        <v>74</v>
      </c>
      <c r="BA106" s="42" t="s">
        <v>75</v>
      </c>
      <c r="BB106" s="19"/>
      <c r="BC106" s="19"/>
      <c r="BD106" s="19"/>
      <c r="BE106" s="19"/>
      <c r="BF106" s="19">
        <f>37.21/4.33</f>
        <v>8.5935334872979219</v>
      </c>
      <c r="BG106" s="46">
        <v>78</v>
      </c>
      <c r="BH106" s="45">
        <v>45682</v>
      </c>
      <c r="BI106" s="21">
        <v>0.99</v>
      </c>
      <c r="BJ106" s="21">
        <v>-0.22</v>
      </c>
      <c r="BK106" s="21">
        <v>2.83</v>
      </c>
      <c r="BL106" s="21">
        <v>-1.36</v>
      </c>
      <c r="BM106" s="21">
        <v>3.58</v>
      </c>
      <c r="BN106" s="21">
        <v>-0.43</v>
      </c>
      <c r="BO106" s="21">
        <v>1.1299999999999999</v>
      </c>
      <c r="BP106" s="21">
        <v>1.58</v>
      </c>
      <c r="BQ106" s="21">
        <v>3.31</v>
      </c>
      <c r="BR106" s="47" t="s">
        <v>76</v>
      </c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</row>
    <row r="107" spans="1:119" ht="14.25" customHeight="1" x14ac:dyDescent="0.2">
      <c r="A107" s="39" t="str">
        <f t="shared" si="27"/>
        <v>[1adc9501]|ETH|DeadZone|1H</v>
      </c>
      <c r="B107" s="42" t="s">
        <v>28</v>
      </c>
      <c r="C107" s="43">
        <f t="shared" si="36"/>
        <v>0.3</v>
      </c>
      <c r="D107" s="42" t="s">
        <v>69</v>
      </c>
      <c r="E107" s="42" t="s">
        <v>46</v>
      </c>
      <c r="F107" s="42" t="s">
        <v>70</v>
      </c>
      <c r="G107" s="42" t="s">
        <v>52</v>
      </c>
      <c r="H107" s="2">
        <v>30000</v>
      </c>
      <c r="I107" s="2">
        <f t="shared" si="37"/>
        <v>6300</v>
      </c>
      <c r="J107" s="24">
        <f t="shared" si="38"/>
        <v>6300</v>
      </c>
      <c r="K107" s="1">
        <v>300</v>
      </c>
      <c r="L107" s="19">
        <f>33.14/3.94</f>
        <v>8.4111675126903549</v>
      </c>
      <c r="M107" s="12">
        <v>134</v>
      </c>
      <c r="N107" s="45">
        <v>45802</v>
      </c>
      <c r="O107" s="21">
        <f t="array" ref="O107">IFERROR(INDEX('Strategy Watchlist'!P:P,MATCH($A107,'Strategy Watchlist'!$A:$A,0)),"Not Found")</f>
        <v>0.51</v>
      </c>
      <c r="P107" s="21">
        <f t="array" ref="P107">IFERROR(INDEX('Strategy Watchlist'!Q:Q,MATCH($A107,'Strategy Watchlist'!$A:$A,0)),"Not Found")</f>
        <v>0.63</v>
      </c>
      <c r="Q107" s="21">
        <f t="array" ref="Q107">IFERROR(INDEX('Strategy Watchlist'!R:R,MATCH($A107,'Strategy Watchlist'!$A:$A,0)),"Not Found")</f>
        <v>4.53</v>
      </c>
      <c r="R107" s="21">
        <f t="array" ref="R107">IFERROR(INDEX('Strategy Watchlist'!S:S,MATCH($A107,'Strategy Watchlist'!$A:$A,0)),"Not Found")</f>
        <v>3.6</v>
      </c>
      <c r="S107" s="21">
        <f t="array" ref="S107">IFERROR(INDEX('Strategy Watchlist'!T:T,MATCH($A107,'Strategy Watchlist'!$A:$A,0)),"Not Found")</f>
        <v>1.0900000000000001</v>
      </c>
      <c r="T107" s="21">
        <f t="array" ref="T107">IFERROR(INDEX('Strategy Watchlist'!U:U,MATCH($A107,'Strategy Watchlist'!$A:$A,0)),"Not Found")</f>
        <v>2.31</v>
      </c>
      <c r="U107" s="21">
        <f t="array" ref="U107">IFERROR(INDEX('Strategy Watchlist'!V:V,MATCH($A107,'Strategy Watchlist'!$A:$A,0)),"Not Found")</f>
        <v>0.49</v>
      </c>
      <c r="V107" s="21">
        <f t="array" ref="V107">IFERROR(INDEX('Strategy Watchlist'!W:W,MATCH($A107,'Strategy Watchlist'!$A:$A,0)),"Not Found")</f>
        <v>-1.63</v>
      </c>
      <c r="W107" s="21">
        <f t="array" ref="W107">IFERROR(INDEX('Strategy Watchlist'!X:X,MATCH($A107,'Strategy Watchlist'!$A:$A,0)),"Not Found")</f>
        <v>0.27</v>
      </c>
      <c r="X107" s="21">
        <f t="array" ref="X107">IFERROR(INDEX('Strategy Watchlist'!Y:Y,MATCH($A107,'Strategy Watchlist'!$A:$A,0)),"Not Found")</f>
        <v>2.35</v>
      </c>
      <c r="Y107" s="102" t="str">
        <f t="array" ref="Y107">IFERROR(INDEX('Strategy Watchlist'!Z:Z,MATCH($A107,'Strategy Watchlist'!$A:$A,0)),"Not Found")</f>
        <v>https://www.tradingview.com/chart/P8n5vn8V/</v>
      </c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39" t="str">
        <f t="shared" si="39"/>
        <v>[1adc9501]|ETH|DeadZone|1H</v>
      </c>
      <c r="AV107" s="42" t="s">
        <v>62</v>
      </c>
      <c r="AW107" s="17"/>
      <c r="AX107" s="42" t="s">
        <v>69</v>
      </c>
      <c r="AY107" s="42" t="s">
        <v>46</v>
      </c>
      <c r="AZ107" s="42" t="s">
        <v>70</v>
      </c>
      <c r="BA107" s="42" t="s">
        <v>52</v>
      </c>
      <c r="BB107" s="19"/>
      <c r="BC107" s="19"/>
      <c r="BD107" s="19"/>
      <c r="BE107" s="19"/>
      <c r="BF107" s="19">
        <f>33.14/3.94</f>
        <v>8.4111675126903549</v>
      </c>
      <c r="BG107" s="46">
        <v>134</v>
      </c>
      <c r="BH107" s="45">
        <v>45802</v>
      </c>
      <c r="BI107" s="21">
        <v>1.19</v>
      </c>
      <c r="BJ107" s="21">
        <v>0.63</v>
      </c>
      <c r="BK107" s="21">
        <v>4.53</v>
      </c>
      <c r="BL107" s="21">
        <v>3.6</v>
      </c>
      <c r="BM107" s="21">
        <v>1.0900000000000001</v>
      </c>
      <c r="BN107" s="21">
        <v>2.31</v>
      </c>
      <c r="BO107" s="21">
        <v>0.49</v>
      </c>
      <c r="BP107" s="21">
        <v>-1.63</v>
      </c>
      <c r="BQ107" s="21">
        <v>0.27</v>
      </c>
      <c r="BR107" s="21">
        <v>2.35</v>
      </c>
      <c r="BS107" s="47" t="s">
        <v>71</v>
      </c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</row>
    <row r="108" spans="1:119" ht="16.5" customHeight="1" x14ac:dyDescent="0.2">
      <c r="A108" s="37" t="str">
        <f t="shared" si="27"/>
        <v>7x|95000|100000|</v>
      </c>
      <c r="B108" s="37" t="s">
        <v>117</v>
      </c>
      <c r="C108" s="37"/>
      <c r="D108" s="37" t="s">
        <v>27</v>
      </c>
      <c r="E108" s="37">
        <v>95000</v>
      </c>
      <c r="F108" s="37">
        <v>100000</v>
      </c>
      <c r="G108" s="37"/>
      <c r="H108" s="37"/>
      <c r="I108" s="38"/>
      <c r="J108" s="38"/>
      <c r="K108" s="37"/>
      <c r="L108" s="37"/>
      <c r="M108" s="12"/>
      <c r="N108" s="37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</row>
    <row r="109" spans="1:119" ht="14.25" customHeight="1" x14ac:dyDescent="0.2">
      <c r="A109" s="17" t="str">
        <f t="shared" si="27"/>
        <v>[a9aeb4cc]|ETH|McGinley|90m</v>
      </c>
      <c r="B109" s="1" t="s">
        <v>28</v>
      </c>
      <c r="C109" s="43">
        <f t="shared" ref="C109:C110" si="40">H109/$F$81</f>
        <v>0.24</v>
      </c>
      <c r="D109" s="1" t="s">
        <v>45</v>
      </c>
      <c r="E109" s="1" t="s">
        <v>46</v>
      </c>
      <c r="F109" s="1" t="s">
        <v>47</v>
      </c>
      <c r="G109" s="1" t="s">
        <v>48</v>
      </c>
      <c r="H109" s="2">
        <v>24000</v>
      </c>
      <c r="I109" s="2">
        <f t="shared" ref="I109:I110" si="41">H109*0.21</f>
        <v>5040</v>
      </c>
      <c r="J109" s="2">
        <v>5200</v>
      </c>
      <c r="K109" s="1">
        <v>190</v>
      </c>
      <c r="L109" s="19">
        <f t="array" ref="L109">IFERROR(INDEX('Strategy Watchlist'!L:L,MATCH($A109,'Strategy Watchlist'!$A:$A,0)),"Not Found")</f>
        <v>7.4173228346456694</v>
      </c>
      <c r="M109" s="12">
        <f t="array" ref="M109">IFERROR(INDEX('Strategy Watchlist'!M:M,MATCH($A109,'Strategy Watchlist'!$A:$A,0)),"Not Found")</f>
        <v>72</v>
      </c>
      <c r="N109" s="20">
        <f t="array" ref="N109">IFERROR(INDEX('Strategy Watchlist'!N:N,MATCH($A109,'Strategy Watchlist'!$A:$A,0)),"Not Found")</f>
        <v>45772</v>
      </c>
      <c r="O109" s="21">
        <f t="array" ref="O109">IFERROR(INDEX('Strategy Watchlist'!P:P,MATCH($A109,'Strategy Watchlist'!$A:$A,0)),"Not Found")</f>
        <v>-0.43</v>
      </c>
      <c r="P109" s="21">
        <f t="array" ref="P109">IFERROR(INDEX('Strategy Watchlist'!Q:Q,MATCH($A109,'Strategy Watchlist'!$A:$A,0)),"Not Found")</f>
        <v>-0.39</v>
      </c>
      <c r="Q109" s="21">
        <f t="array" ref="Q109">IFERROR(INDEX('Strategy Watchlist'!R:R,MATCH($A109,'Strategy Watchlist'!$A:$A,0)),"Not Found")</f>
        <v>2.4500000000000002</v>
      </c>
      <c r="R109" s="21">
        <f t="array" ref="R109">IFERROR(INDEX('Strategy Watchlist'!S:S,MATCH($A109,'Strategy Watchlist'!$A:$A,0)),"Not Found")</f>
        <v>-0.24</v>
      </c>
      <c r="S109" s="21">
        <f t="array" ref="S109">IFERROR(INDEX('Strategy Watchlist'!T:T,MATCH($A109,'Strategy Watchlist'!$A:$A,0)),"Not Found")</f>
        <v>0.53</v>
      </c>
      <c r="T109" s="21">
        <f t="array" ref="T109">IFERROR(INDEX('Strategy Watchlist'!U:U,MATCH($A109,'Strategy Watchlist'!$A:$A,0)),"Not Found")</f>
        <v>2.38</v>
      </c>
      <c r="U109" s="21">
        <f t="array" ref="U109">IFERROR(INDEX('Strategy Watchlist'!V:V,MATCH($A109,'Strategy Watchlist'!$A:$A,0)),"Not Found")</f>
        <v>0.94</v>
      </c>
      <c r="V109" s="21">
        <f t="array" ref="V109">IFERROR(INDEX('Strategy Watchlist'!W:W,MATCH($A109,'Strategy Watchlist'!$A:$A,0)),"Not Found")</f>
        <v>0</v>
      </c>
      <c r="W109" s="21">
        <f t="array" ref="W109">IFERROR(INDEX('Strategy Watchlist'!X:X,MATCH($A109,'Strategy Watchlist'!$A:$A,0)),"Not Found")</f>
        <v>2.77</v>
      </c>
      <c r="X109" s="21">
        <f t="array" ref="X109">IFERROR(INDEX('Strategy Watchlist'!Y:Y,MATCH($A109,'Strategy Watchlist'!$A:$A,0)),"Not Found")</f>
        <v>-0.13</v>
      </c>
      <c r="Y109" s="22" t="str">
        <f t="array" ref="Y109">IFERROR(INDEX('Strategy Watchlist'!Z:Z,MATCH($A109,'Strategy Watchlist'!$A:$A,0)),"Not Found")</f>
        <v>https://www.tradingview.com/chart/dPRT8fSK/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</row>
    <row r="110" spans="1:119" ht="14.25" customHeight="1" x14ac:dyDescent="0.2">
      <c r="A110" s="39" t="str">
        <f t="shared" si="27"/>
        <v>[0436a8e8]|SOL|Trendhoo|90m</v>
      </c>
      <c r="B110" s="42" t="s">
        <v>28</v>
      </c>
      <c r="C110" s="43">
        <f t="shared" si="40"/>
        <v>0.3</v>
      </c>
      <c r="D110" s="17" t="s">
        <v>66</v>
      </c>
      <c r="E110" s="17" t="s">
        <v>43</v>
      </c>
      <c r="F110" s="17" t="s">
        <v>67</v>
      </c>
      <c r="G110" s="17" t="s">
        <v>48</v>
      </c>
      <c r="H110" s="2">
        <v>30000</v>
      </c>
      <c r="I110" s="2">
        <f t="shared" si="41"/>
        <v>6300</v>
      </c>
      <c r="J110" s="2">
        <f>I110</f>
        <v>6300</v>
      </c>
      <c r="K110" s="1">
        <v>200</v>
      </c>
      <c r="L110" s="43">
        <f>20.84/4.13</f>
        <v>5.0460048426150124</v>
      </c>
      <c r="M110" s="12">
        <v>327</v>
      </c>
      <c r="N110" s="45">
        <v>45863</v>
      </c>
      <c r="O110" s="21">
        <f t="array" ref="O110">IFERROR(INDEX('Strategy Watchlist'!P:P,MATCH($A110,'Strategy Watchlist'!$A:$A,0)),"Not Found")</f>
        <v>-0.57999999999999996</v>
      </c>
      <c r="P110" s="21">
        <f t="array" ref="P110">IFERROR(INDEX('Strategy Watchlist'!Q:Q,MATCH($A110,'Strategy Watchlist'!$A:$A,0)),"Not Found")</f>
        <v>2.2999999999999998</v>
      </c>
      <c r="Q110" s="21">
        <f t="array" ref="Q110">IFERROR(INDEX('Strategy Watchlist'!R:R,MATCH($A110,'Strategy Watchlist'!$A:$A,0)),"Not Found")</f>
        <v>0.88</v>
      </c>
      <c r="R110" s="21">
        <f t="array" ref="R110">IFERROR(INDEX('Strategy Watchlist'!S:S,MATCH($A110,'Strategy Watchlist'!$A:$A,0)),"Not Found")</f>
        <v>0.88</v>
      </c>
      <c r="S110" s="21">
        <f t="array" ref="S110">IFERROR(INDEX('Strategy Watchlist'!T:T,MATCH($A110,'Strategy Watchlist'!$A:$A,0)),"Not Found")</f>
        <v>-0.19</v>
      </c>
      <c r="T110" s="21">
        <f t="array" ref="T110">IFERROR(INDEX('Strategy Watchlist'!U:U,MATCH($A110,'Strategy Watchlist'!$A:$A,0)),"Not Found")</f>
        <v>-0.1</v>
      </c>
      <c r="U110" s="21">
        <f t="array" ref="U110">IFERROR(INDEX('Strategy Watchlist'!V:V,MATCH($A110,'Strategy Watchlist'!$A:$A,0)),"Not Found")</f>
        <v>-0.52</v>
      </c>
      <c r="V110" s="21">
        <f t="array" ref="V110">IFERROR(INDEX('Strategy Watchlist'!W:W,MATCH($A110,'Strategy Watchlist'!$A:$A,0)),"Not Found")</f>
        <v>1.1100000000000001</v>
      </c>
      <c r="W110" s="21">
        <f t="array" ref="W110">IFERROR(INDEX('Strategy Watchlist'!X:X,MATCH($A110,'Strategy Watchlist'!$A:$A,0)),"Not Found")</f>
        <v>2.02</v>
      </c>
      <c r="X110" s="21">
        <f t="array" ref="X110">IFERROR(INDEX('Strategy Watchlist'!Y:Y,MATCH($A110,'Strategy Watchlist'!$A:$A,0)),"Not Found")</f>
        <v>2.73</v>
      </c>
      <c r="Y110" s="41" t="s">
        <v>68</v>
      </c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42"/>
      <c r="AN110" s="42"/>
      <c r="AO110" s="42"/>
      <c r="AP110" s="42"/>
      <c r="AQ110" s="42"/>
      <c r="AR110" s="42"/>
      <c r="AS110" s="42"/>
      <c r="AT110" s="42"/>
      <c r="AU110" s="39" t="str">
        <f>AX110&amp;"|"&amp;AY110&amp;"|"&amp;AZ110&amp;"|"&amp;BA110</f>
        <v>[0436a8e8]|SOL|Trendhoo|90m</v>
      </c>
      <c r="AV110" s="17" t="s">
        <v>28</v>
      </c>
      <c r="AW110" s="17">
        <v>0.2</v>
      </c>
      <c r="AX110" s="17" t="s">
        <v>66</v>
      </c>
      <c r="AY110" s="17" t="s">
        <v>43</v>
      </c>
      <c r="AZ110" s="17" t="s">
        <v>67</v>
      </c>
      <c r="BA110" s="17" t="s">
        <v>48</v>
      </c>
      <c r="BB110" s="43"/>
      <c r="BC110" s="43"/>
      <c r="BD110" s="43"/>
      <c r="BE110" s="43"/>
      <c r="BF110" s="43">
        <f>20.84/4.13</f>
        <v>5.0460048426150124</v>
      </c>
      <c r="BG110" s="44">
        <v>327</v>
      </c>
      <c r="BH110" s="45">
        <v>45863</v>
      </c>
      <c r="BI110" s="21">
        <v>0.72</v>
      </c>
      <c r="BJ110" s="21">
        <v>1.94</v>
      </c>
      <c r="BK110" s="21">
        <v>0.74</v>
      </c>
      <c r="BL110" s="21">
        <v>0.74</v>
      </c>
      <c r="BM110" s="21">
        <v>-0.19</v>
      </c>
      <c r="BN110" s="21">
        <v>-0.1</v>
      </c>
      <c r="BO110" s="21">
        <v>-0.52</v>
      </c>
      <c r="BP110" s="21">
        <v>1.1100000000000001</v>
      </c>
      <c r="BQ110" s="21">
        <v>2.02</v>
      </c>
      <c r="BR110" s="21">
        <v>2.73</v>
      </c>
      <c r="BS110" s="41" t="s">
        <v>68</v>
      </c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42"/>
      <c r="CH110" s="42"/>
      <c r="CI110" s="42"/>
      <c r="CJ110" s="42"/>
      <c r="CK110" s="42"/>
      <c r="CL110" s="42"/>
      <c r="CM110" s="42"/>
      <c r="CN110" s="42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</row>
    <row r="111" spans="1:119" ht="14.25" customHeight="1" x14ac:dyDescent="0.2">
      <c r="A111" s="17"/>
      <c r="B111" s="1"/>
      <c r="C111" s="1"/>
      <c r="D111" s="1"/>
      <c r="E111" s="1"/>
      <c r="F111" s="1"/>
      <c r="G111" s="1"/>
      <c r="H111" s="2"/>
      <c r="I111" s="2"/>
      <c r="J111" s="2"/>
      <c r="K111" s="1"/>
      <c r="L111" s="19"/>
      <c r="M111" s="4"/>
      <c r="N111" s="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</row>
    <row r="112" spans="1:119" ht="14.25" customHeight="1" x14ac:dyDescent="0.2">
      <c r="A112" s="17"/>
      <c r="B112" s="1"/>
      <c r="C112" s="1"/>
      <c r="D112" s="1"/>
      <c r="E112" s="1"/>
      <c r="F112" s="1"/>
      <c r="G112" s="1"/>
      <c r="H112" s="2"/>
      <c r="I112" s="2"/>
      <c r="J112" s="2"/>
      <c r="K112" s="1"/>
      <c r="L112" s="19"/>
      <c r="M112" s="4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</row>
    <row r="113" spans="1:119" ht="14.25" customHeight="1" x14ac:dyDescent="0.2">
      <c r="A113" s="17" t="str">
        <f>D113&amp;"|"&amp;E113&amp;"|"&amp;F113&amp;"|"&amp;G113</f>
        <v>5x|BTC|DCA|30m</v>
      </c>
      <c r="B113" s="1" t="s">
        <v>28</v>
      </c>
      <c r="C113" s="1"/>
      <c r="D113" s="18" t="s">
        <v>65</v>
      </c>
      <c r="E113" s="1" t="s">
        <v>73</v>
      </c>
      <c r="F113" s="1" t="s">
        <v>105</v>
      </c>
      <c r="G113" s="1" t="s">
        <v>38</v>
      </c>
      <c r="H113" s="2">
        <v>2683</v>
      </c>
      <c r="I113" s="18">
        <v>5</v>
      </c>
      <c r="J113" s="2">
        <f>H113*I113</f>
        <v>13415</v>
      </c>
      <c r="K113" s="1"/>
      <c r="L113" s="19"/>
      <c r="M113" s="24"/>
      <c r="N113" s="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</row>
    <row r="114" spans="1:119" ht="14.25" customHeight="1" x14ac:dyDescent="0.2">
      <c r="A114" s="17"/>
      <c r="B114" s="1"/>
      <c r="C114" s="1"/>
      <c r="D114" s="1"/>
      <c r="E114" s="1"/>
      <c r="F114" s="1"/>
      <c r="G114" s="1"/>
      <c r="H114" s="2"/>
      <c r="I114" s="2"/>
      <c r="J114" s="2"/>
      <c r="K114" s="1"/>
      <c r="L114" s="19"/>
      <c r="M114" s="4"/>
      <c r="N114" s="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</row>
    <row r="115" spans="1:119" ht="14.25" customHeight="1" x14ac:dyDescent="0.2">
      <c r="A115" s="17"/>
      <c r="B115" s="1"/>
      <c r="C115" s="1"/>
      <c r="D115" s="1"/>
      <c r="E115" s="1"/>
      <c r="F115" s="1"/>
      <c r="G115" s="1"/>
      <c r="H115" s="2"/>
      <c r="I115" s="2"/>
      <c r="J115" s="2"/>
      <c r="K115" s="1"/>
      <c r="L115" s="19"/>
      <c r="M115" s="4"/>
      <c r="N115" s="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</row>
    <row r="116" spans="1:119" ht="14.25" customHeight="1" x14ac:dyDescent="0.2">
      <c r="A116" s="17" t="str">
        <f t="shared" ref="A116:A142" si="42">D116&amp;"|"&amp;E116&amp;"|"&amp;F116&amp;"|"&amp;G116</f>
        <v>|||</v>
      </c>
      <c r="B116" s="1"/>
      <c r="C116" s="1"/>
      <c r="D116" s="1"/>
      <c r="E116" s="1"/>
      <c r="F116" s="1"/>
      <c r="G116" s="1"/>
      <c r="H116" s="2"/>
      <c r="I116" s="2"/>
      <c r="J116" s="2"/>
      <c r="K116" s="1"/>
      <c r="L116" s="19">
        <f t="array" ref="L116">IFERROR(INDEX('Strategy Watchlist'!L:L,MATCH($A116,'Strategy Watchlist'!$A:$A,0)),"Not Found")</f>
        <v>0</v>
      </c>
      <c r="M116" s="4"/>
      <c r="N116" s="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</row>
    <row r="117" spans="1:119" ht="14.25" customHeight="1" x14ac:dyDescent="0.2">
      <c r="A117" s="5" t="str">
        <f t="shared" si="42"/>
        <v>|50000||</v>
      </c>
      <c r="B117" s="5" t="s">
        <v>118</v>
      </c>
      <c r="C117" s="5"/>
      <c r="D117" s="5"/>
      <c r="E117" s="5">
        <v>50000</v>
      </c>
      <c r="F117" s="5"/>
      <c r="G117" s="5"/>
      <c r="H117" s="5"/>
      <c r="I117" s="6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</row>
    <row r="118" spans="1:119" ht="14.25" customHeight="1" x14ac:dyDescent="0.2">
      <c r="A118" s="17" t="str">
        <f t="shared" si="42"/>
        <v>[3111f1fd]|NEAR|Stiff Surge|1H</v>
      </c>
      <c r="B118" s="1" t="s">
        <v>28</v>
      </c>
      <c r="C118" s="43">
        <f t="shared" ref="C118:C130" si="43">H118/$E$117</f>
        <v>0.3</v>
      </c>
      <c r="D118" s="1" t="s">
        <v>56</v>
      </c>
      <c r="E118" s="1" t="s">
        <v>57</v>
      </c>
      <c r="F118" s="1" t="s">
        <v>58</v>
      </c>
      <c r="G118" s="1" t="s">
        <v>52</v>
      </c>
      <c r="H118" s="2">
        <v>15000</v>
      </c>
      <c r="I118" s="2">
        <f t="shared" ref="I118:I130" si="44">H118*0.21</f>
        <v>3150</v>
      </c>
      <c r="J118" s="2">
        <f>I118</f>
        <v>3150</v>
      </c>
      <c r="K118" s="1">
        <v>160</v>
      </c>
      <c r="L118" s="19">
        <f t="array" ref="L118">IFERROR(INDEX('Strategy Watchlist'!L:L,MATCH($A118,'Strategy Watchlist'!$A:$A,0)),"Not Found")</f>
        <v>3.1660516605166054</v>
      </c>
      <c r="M118" s="12">
        <f t="array" ref="M118">IFERROR(INDEX('Strategy Watchlist'!M:M,MATCH($A118,'Strategy Watchlist'!$A:$A,0)),"Not Found")</f>
        <v>237</v>
      </c>
      <c r="N118" s="20">
        <f t="array" ref="N118">IFERROR(INDEX('Strategy Watchlist'!N:N,MATCH($A118,'Strategy Watchlist'!$A:$A,0)),"Not Found")</f>
        <v>45717</v>
      </c>
      <c r="O118" s="21">
        <f t="array" ref="O118">IFERROR(INDEX('Strategy Watchlist'!P:P,MATCH($A118,'Strategy Watchlist'!$A:$A,0)),"Not Found")</f>
        <v>-1.39</v>
      </c>
      <c r="P118" s="21">
        <f t="array" ref="P118">IFERROR(INDEX('Strategy Watchlist'!Q:Q,MATCH($A118,'Strategy Watchlist'!$A:$A,0)),"Not Found")</f>
        <v>0.56000000000000005</v>
      </c>
      <c r="Q118" s="21">
        <f t="array" ref="Q118">IFERROR(INDEX('Strategy Watchlist'!R:R,MATCH($A118,'Strategy Watchlist'!$A:$A,0)),"Not Found")</f>
        <v>-0.43</v>
      </c>
      <c r="R118" s="21">
        <f t="array" ref="R118">IFERROR(INDEX('Strategy Watchlist'!S:S,MATCH($A118,'Strategy Watchlist'!$A:$A,0)),"Not Found")</f>
        <v>-0.45</v>
      </c>
      <c r="S118" s="21">
        <f t="array" ref="S118">IFERROR(INDEX('Strategy Watchlist'!T:T,MATCH($A118,'Strategy Watchlist'!$A:$A,0)),"Not Found")</f>
        <v>4.99</v>
      </c>
      <c r="T118" s="21">
        <f t="array" ref="T118">IFERROR(INDEX('Strategy Watchlist'!U:U,MATCH($A118,'Strategy Watchlist'!$A:$A,0)),"Not Found")</f>
        <v>4.37</v>
      </c>
      <c r="U118" s="21">
        <f t="array" ref="U118">IFERROR(INDEX('Strategy Watchlist'!V:V,MATCH($A118,'Strategy Watchlist'!$A:$A,0)),"Not Found")</f>
        <v>-1.47</v>
      </c>
      <c r="V118" s="21">
        <f t="array" ref="V118">IFERROR(INDEX('Strategy Watchlist'!W:W,MATCH($A118,'Strategy Watchlist'!$A:$A,0)),"Not Found")</f>
        <v>1.85</v>
      </c>
      <c r="W118" s="21">
        <f t="array" ref="W118">IFERROR(INDEX('Strategy Watchlist'!X:X,MATCH($A118,'Strategy Watchlist'!$A:$A,0)),"Not Found")</f>
        <v>-0.11</v>
      </c>
      <c r="X118" s="21">
        <f t="array" ref="X118">IFERROR(INDEX('Strategy Watchlist'!Y:Y,MATCH($A118,'Strategy Watchlist'!$A:$A,0)),"Not Found")</f>
        <v>1.53</v>
      </c>
      <c r="Y118" s="22" t="str">
        <f t="array" ref="Y118">IFERROR(INDEX('Strategy Watchlist'!Z:Z,MATCH($A118,'Strategy Watchlist'!$A:$A,0)),"Not Found")</f>
        <v>https://www.tradingview.com/chart/Q9MeKvVC/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</row>
    <row r="119" spans="1:119" ht="14.25" customHeight="1" x14ac:dyDescent="0.2">
      <c r="A119" s="29" t="str">
        <f t="shared" si="42"/>
        <v>[6dcd4dc9]|ETH|precisionTrend|30m</v>
      </c>
      <c r="B119" s="29" t="s">
        <v>28</v>
      </c>
      <c r="C119" s="29">
        <f t="shared" si="43"/>
        <v>0.3</v>
      </c>
      <c r="D119" s="29" t="s">
        <v>86</v>
      </c>
      <c r="E119" s="29" t="s">
        <v>46</v>
      </c>
      <c r="F119" s="29" t="s">
        <v>54</v>
      </c>
      <c r="G119" s="97" t="s">
        <v>38</v>
      </c>
      <c r="H119" s="30">
        <v>15000</v>
      </c>
      <c r="I119" s="73">
        <f t="shared" si="44"/>
        <v>3150</v>
      </c>
      <c r="J119" s="30">
        <v>4600</v>
      </c>
      <c r="K119" s="29">
        <v>180</v>
      </c>
      <c r="L119" s="72">
        <f t="array" ref="L119">IFERROR(INDEX('Strategy Watchlist'!L:L,MATCH($A119,'Strategy Watchlist'!$A:$A,0)),"Not Found")</f>
        <v>9.2112359550561802</v>
      </c>
      <c r="M119" s="73">
        <f t="array" ref="M119">IFERROR(INDEX('Strategy Watchlist'!M:M,MATCH($A119,'Strategy Watchlist'!$A:$A,0)),"Not Found")</f>
        <v>312</v>
      </c>
      <c r="N119" s="74">
        <f t="array" ref="N119">IFERROR(INDEX('Strategy Watchlist'!N:N,MATCH($A119,'Strategy Watchlist'!$A:$A,0)),"Not Found")</f>
        <v>45772</v>
      </c>
      <c r="O119" s="28">
        <f t="array" ref="O119">IFERROR(INDEX('Strategy Watchlist'!P:P,MATCH($A119,'Strategy Watchlist'!$A:$A,0)),"Not Found")</f>
        <v>1.07</v>
      </c>
      <c r="P119" s="28">
        <f t="array" ref="P119">IFERROR(INDEX('Strategy Watchlist'!Q:Q,MATCH($A119,'Strategy Watchlist'!$A:$A,0)),"Not Found")</f>
        <v>-2.52</v>
      </c>
      <c r="Q119" s="28">
        <f t="array" ref="Q119">IFERROR(INDEX('Strategy Watchlist'!R:R,MATCH($A119,'Strategy Watchlist'!$A:$A,0)),"Not Found")</f>
        <v>1.84</v>
      </c>
      <c r="R119" s="28">
        <f t="array" ref="R119">IFERROR(INDEX('Strategy Watchlist'!S:S,MATCH($A119,'Strategy Watchlist'!$A:$A,0)),"Not Found")</f>
        <v>3.9</v>
      </c>
      <c r="S119" s="28">
        <f t="array" ref="S119">IFERROR(INDEX('Strategy Watchlist'!T:T,MATCH($A119,'Strategy Watchlist'!$A:$A,0)),"Not Found")</f>
        <v>1.37</v>
      </c>
      <c r="T119" s="28">
        <f t="array" ref="T119">IFERROR(INDEX('Strategy Watchlist'!U:U,MATCH($A119,'Strategy Watchlist'!$A:$A,0)),"Not Found")</f>
        <v>6.22</v>
      </c>
      <c r="U119" s="28">
        <f t="array" ref="U119">IFERROR(INDEX('Strategy Watchlist'!V:V,MATCH($A119,'Strategy Watchlist'!$A:$A,0)),"Not Found")</f>
        <v>3</v>
      </c>
      <c r="V119" s="28">
        <f t="array" ref="V119">IFERROR(INDEX('Strategy Watchlist'!W:W,MATCH($A119,'Strategy Watchlist'!$A:$A,0)),"Not Found")</f>
        <v>3.99</v>
      </c>
      <c r="W119" s="28">
        <f t="array" ref="W119">IFERROR(INDEX('Strategy Watchlist'!X:X,MATCH($A119,'Strategy Watchlist'!$A:$A,0)),"Not Found")</f>
        <v>0.93</v>
      </c>
      <c r="X119" s="28">
        <f t="array" ref="X119">IFERROR(INDEX('Strategy Watchlist'!Y:Y,MATCH($A119,'Strategy Watchlist'!$A:$A,0)),"Not Found")</f>
        <v>2.21</v>
      </c>
      <c r="Y119" s="34" t="str">
        <f t="array" ref="Y119">IFERROR(INDEX('Strategy Watchlist'!Z:Z,MATCH($A119,'Strategy Watchlist'!$A:$A,0)),"Not Found")</f>
        <v>https://www.tradingview.com/chart/YxD2lfI2/</v>
      </c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</row>
    <row r="120" spans="1:119" ht="14.25" customHeight="1" x14ac:dyDescent="0.2">
      <c r="A120" s="48" t="str">
        <f t="shared" si="42"/>
        <v>[17ab2738]|ARB|stiff Surge|45m</v>
      </c>
      <c r="B120" s="82" t="s">
        <v>28</v>
      </c>
      <c r="C120" s="48">
        <f t="shared" si="43"/>
        <v>0.44</v>
      </c>
      <c r="D120" s="82" t="s">
        <v>29</v>
      </c>
      <c r="E120" s="82" t="s">
        <v>30</v>
      </c>
      <c r="F120" s="82" t="s">
        <v>31</v>
      </c>
      <c r="G120" s="82" t="s">
        <v>32</v>
      </c>
      <c r="H120" s="53">
        <v>22000</v>
      </c>
      <c r="I120" s="53">
        <f t="shared" si="44"/>
        <v>4620</v>
      </c>
      <c r="J120" s="53">
        <v>8000</v>
      </c>
      <c r="K120" s="82">
        <v>200</v>
      </c>
      <c r="L120" s="52">
        <f t="array" ref="L120">IFERROR(INDEX('Strategy Watchlist'!L:L,MATCH($A120,'Strategy Watchlist'!$A:$A,0)),"Not Found")</f>
        <v>10.965644171779141</v>
      </c>
      <c r="M120" s="50">
        <f t="array" ref="M120">IFERROR(INDEX('Strategy Watchlist'!M:M,MATCH($A120,'Strategy Watchlist'!$A:$A,0)),"Not Found")</f>
        <v>824</v>
      </c>
      <c r="N120" s="54">
        <f t="array" ref="N120">IFERROR(INDEX('Strategy Watchlist'!N:N,MATCH($A120,'Strategy Watchlist'!$A:$A,0)),"Not Found")</f>
        <v>45689</v>
      </c>
      <c r="O120" s="55">
        <f t="array" ref="O120">IFERROR(INDEX('Strategy Watchlist'!P:P,MATCH($A120,'Strategy Watchlist'!$A:$A,0)),"Not Found")</f>
        <v>-1.7</v>
      </c>
      <c r="P120" s="55">
        <f t="array" ref="P120">IFERROR(INDEX('Strategy Watchlist'!Q:Q,MATCH($A120,'Strategy Watchlist'!$A:$A,0)),"Not Found")</f>
        <v>-6.85</v>
      </c>
      <c r="Q120" s="55">
        <f t="array" ref="Q120">IFERROR(INDEX('Strategy Watchlist'!R:R,MATCH($A120,'Strategy Watchlist'!$A:$A,0)),"Not Found")</f>
        <v>1.99</v>
      </c>
      <c r="R120" s="55">
        <f t="array" ref="R120">IFERROR(INDEX('Strategy Watchlist'!S:S,MATCH($A120,'Strategy Watchlist'!$A:$A,0)),"Not Found")</f>
        <v>6.96</v>
      </c>
      <c r="S120" s="55">
        <f t="array" ref="S120">IFERROR(INDEX('Strategy Watchlist'!T:T,MATCH($A120,'Strategy Watchlist'!$A:$A,0)),"Not Found")</f>
        <v>8.0739999999999998</v>
      </c>
      <c r="T120" s="55">
        <f t="array" ref="T120">IFERROR(INDEX('Strategy Watchlist'!U:U,MATCH($A120,'Strategy Watchlist'!$A:$A,0)),"Not Found")</f>
        <v>11.5</v>
      </c>
      <c r="U120" s="55">
        <f t="array" ref="U120">IFERROR(INDEX('Strategy Watchlist'!V:V,MATCH($A120,'Strategy Watchlist'!$A:$A,0)),"Not Found")</f>
        <v>2.75</v>
      </c>
      <c r="V120" s="55">
        <f t="array" ref="V120">IFERROR(INDEX('Strategy Watchlist'!W:W,MATCH($A120,'Strategy Watchlist'!$A:$A,0)),"Not Found")</f>
        <v>2.57</v>
      </c>
      <c r="W120" s="55">
        <f t="array" ref="W120">IFERROR(INDEX('Strategy Watchlist'!X:X,MATCH($A120,'Strategy Watchlist'!$A:$A,0)),"Not Found")</f>
        <v>6.31</v>
      </c>
      <c r="X120" s="55">
        <f t="array" ref="X120">IFERROR(INDEX('Strategy Watchlist'!Y:Y,MATCH($A120,'Strategy Watchlist'!$A:$A,0)),"Not Found")</f>
        <v>7.91</v>
      </c>
      <c r="Y120" s="56" t="str">
        <f t="array" ref="Y120">IFERROR(INDEX('Strategy Watchlist'!Z:Z,MATCH($A120,'Strategy Watchlist'!$A:$A,0)),"Not Found")</f>
        <v>https://www.tradingview.com/chart/EjQUtmuc/</v>
      </c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</row>
    <row r="121" spans="1:119" ht="14.25" customHeight="1" x14ac:dyDescent="0.2">
      <c r="A121" s="48" t="str">
        <f t="shared" si="42"/>
        <v>|PePe|T3 Nexus|30m</v>
      </c>
      <c r="B121" s="82" t="s">
        <v>28</v>
      </c>
      <c r="C121" s="48">
        <f t="shared" si="43"/>
        <v>0.2</v>
      </c>
      <c r="D121" s="82"/>
      <c r="E121" s="82" t="s">
        <v>40</v>
      </c>
      <c r="F121" s="82" t="s">
        <v>82</v>
      </c>
      <c r="G121" s="82" t="s">
        <v>38</v>
      </c>
      <c r="H121" s="50">
        <v>10000</v>
      </c>
      <c r="I121" s="50">
        <f t="shared" si="44"/>
        <v>2100</v>
      </c>
      <c r="J121" s="50">
        <v>2620</v>
      </c>
      <c r="K121" s="82">
        <v>150</v>
      </c>
      <c r="L121" s="52">
        <f t="array" ref="L121">IFERROR(INDEX('Strategy Watchlist'!L:L,MATCH($A121,'Strategy Watchlist'!$A:$A,0)),"Not Found")</f>
        <v>0.82275229357798174</v>
      </c>
      <c r="M121" s="50">
        <f t="array" ref="M121">IFERROR(INDEX('Strategy Watchlist'!M:M,MATCH($A121,'Strategy Watchlist'!$A:$A,0)),"Not Found")</f>
        <v>748</v>
      </c>
      <c r="N121" s="54">
        <f t="array" ref="N121">IFERROR(INDEX('Strategy Watchlist'!N:N,MATCH($A121,'Strategy Watchlist'!$A:$A,0)),"Not Found")</f>
        <v>45662</v>
      </c>
      <c r="O121" s="55">
        <f t="array" ref="O121">IFERROR(INDEX('Strategy Watchlist'!P:P,MATCH($A121,'Strategy Watchlist'!$A:$A,0)),"Not Found")</f>
        <v>-8.9600000000000009</v>
      </c>
      <c r="P121" s="55">
        <f t="array" ref="P121">IFERROR(INDEX('Strategy Watchlist'!Q:Q,MATCH($A121,'Strategy Watchlist'!$A:$A,0)),"Not Found")</f>
        <v>-0.19</v>
      </c>
      <c r="Q121" s="55">
        <f t="array" ref="Q121">IFERROR(INDEX('Strategy Watchlist'!R:R,MATCH($A121,'Strategy Watchlist'!$A:$A,0)),"Not Found")</f>
        <v>6.1</v>
      </c>
      <c r="R121" s="55">
        <f t="array" ref="R121">IFERROR(INDEX('Strategy Watchlist'!S:S,MATCH($A121,'Strategy Watchlist'!$A:$A,0)),"Not Found")</f>
        <v>3.29</v>
      </c>
      <c r="S121" s="55">
        <f t="array" ref="S121">IFERROR(INDEX('Strategy Watchlist'!T:T,MATCH($A121,'Strategy Watchlist'!$A:$A,0)),"Not Found")</f>
        <v>1.47</v>
      </c>
      <c r="T121" s="55">
        <f t="array" ref="T121">IFERROR(INDEX('Strategy Watchlist'!U:U,MATCH($A121,'Strategy Watchlist'!$A:$A,0)),"Not Found")</f>
        <v>6.2</v>
      </c>
      <c r="U121" s="55">
        <f t="array" ref="U121">IFERROR(INDEX('Strategy Watchlist'!V:V,MATCH($A121,'Strategy Watchlist'!$A:$A,0)),"Not Found")</f>
        <v>-4.5</v>
      </c>
      <c r="V121" s="55">
        <f t="array" ref="V121">IFERROR(INDEX('Strategy Watchlist'!W:W,MATCH($A121,'Strategy Watchlist'!$A:$A,0)),"Not Found")</f>
        <v>4.74</v>
      </c>
      <c r="W121" s="55">
        <f t="array" ref="W121">IFERROR(INDEX('Strategy Watchlist'!X:X,MATCH($A121,'Strategy Watchlist'!$A:$A,0)),"Not Found")</f>
        <v>1.1599999999999999</v>
      </c>
      <c r="X121" s="55">
        <f t="array" ref="X121">IFERROR(INDEX('Strategy Watchlist'!Y:Y,MATCH($A121,'Strategy Watchlist'!$A:$A,0)),"Not Found")</f>
        <v>7.62</v>
      </c>
      <c r="Y121" s="56" t="str">
        <f t="array" ref="Y121">IFERROR(INDEX('Strategy Watchlist'!Z:Z,MATCH($A121,'Strategy Watchlist'!$A:$A,0)),"Not Found")</f>
        <v>https://www.tradingview.com/chart/Kj5ZGHdw/</v>
      </c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</row>
    <row r="122" spans="1:119" ht="14.25" customHeight="1" x14ac:dyDescent="0.2">
      <c r="A122" s="17" t="str">
        <f t="shared" si="42"/>
        <v>|DOGE|MACD|45m</v>
      </c>
      <c r="B122" s="17" t="s">
        <v>28</v>
      </c>
      <c r="C122" s="17">
        <f t="shared" si="43"/>
        <v>0.24</v>
      </c>
      <c r="D122" s="17"/>
      <c r="E122" s="17" t="s">
        <v>33</v>
      </c>
      <c r="F122" s="17" t="s">
        <v>34</v>
      </c>
      <c r="G122" s="23" t="s">
        <v>32</v>
      </c>
      <c r="H122" s="24">
        <v>12000</v>
      </c>
      <c r="I122" s="24">
        <f t="shared" si="44"/>
        <v>2520</v>
      </c>
      <c r="J122" s="24">
        <v>3000</v>
      </c>
      <c r="K122" s="39">
        <v>180</v>
      </c>
      <c r="L122" s="19">
        <f t="array" ref="L122">IFERROR(INDEX('Strategy Watchlist'!L:L,MATCH($A122,'Strategy Watchlist'!$A:$A,0)),"Not Found")</f>
        <v>6.8331771321462043</v>
      </c>
      <c r="M122" s="12">
        <f t="array" ref="M122">IFERROR(INDEX('Strategy Watchlist'!M:M,MATCH($A122,'Strategy Watchlist'!$A:$A,0)),"Not Found")</f>
        <v>147</v>
      </c>
      <c r="N122" s="20">
        <f t="array" ref="N122">IFERROR(INDEX('Strategy Watchlist'!N:N,MATCH($A122,'Strategy Watchlist'!$A:$A,0)),"Not Found")</f>
        <v>45662</v>
      </c>
      <c r="O122" s="21">
        <f t="array" ref="O122">IFERROR(INDEX('Strategy Watchlist'!P:P,MATCH($A122,'Strategy Watchlist'!$A:$A,0)),"Not Found")</f>
        <v>-3.88</v>
      </c>
      <c r="P122" s="21">
        <f t="array" ref="P122">IFERROR(INDEX('Strategy Watchlist'!Q:Q,MATCH($A122,'Strategy Watchlist'!$A:$A,0)),"Not Found")</f>
        <v>5.91</v>
      </c>
      <c r="Q122" s="21">
        <f t="array" ref="Q122">IFERROR(INDEX('Strategy Watchlist'!R:R,MATCH($A122,'Strategy Watchlist'!$A:$A,0)),"Not Found")</f>
        <v>-0.08</v>
      </c>
      <c r="R122" s="21">
        <f t="array" ref="R122">IFERROR(INDEX('Strategy Watchlist'!S:S,MATCH($A122,'Strategy Watchlist'!$A:$A,0)),"Not Found")</f>
        <v>4.72</v>
      </c>
      <c r="S122" s="21">
        <f t="array" ref="S122">IFERROR(INDEX('Strategy Watchlist'!T:T,MATCH($A122,'Strategy Watchlist'!$A:$A,0)),"Not Found")</f>
        <v>8.93</v>
      </c>
      <c r="T122" s="21">
        <f t="array" ref="T122">IFERROR(INDEX('Strategy Watchlist'!U:U,MATCH($A122,'Strategy Watchlist'!$A:$A,0)),"Not Found")</f>
        <v>2.69</v>
      </c>
      <c r="U122" s="21">
        <f t="array" ref="U122">IFERROR(INDEX('Strategy Watchlist'!V:V,MATCH($A122,'Strategy Watchlist'!$A:$A,0)),"Not Found")</f>
        <v>2.04</v>
      </c>
      <c r="V122" s="21">
        <f t="array" ref="V122">IFERROR(INDEX('Strategy Watchlist'!W:W,MATCH($A122,'Strategy Watchlist'!$A:$A,0)),"Not Found")</f>
        <v>5.31</v>
      </c>
      <c r="W122" s="21">
        <f t="array" ref="W122">IFERROR(INDEX('Strategy Watchlist'!X:X,MATCH($A122,'Strategy Watchlist'!$A:$A,0)),"Not Found")</f>
        <v>0.72</v>
      </c>
      <c r="X122" s="21">
        <f t="array" ref="X122">IFERROR(INDEX('Strategy Watchlist'!Y:Y,MATCH($A122,'Strategy Watchlist'!$A:$A,0)),"Not Found")</f>
        <v>3.27</v>
      </c>
      <c r="Y122" s="22" t="str">
        <f t="array" ref="Y122">IFERROR(INDEX('Strategy Watchlist'!Z:Z,MATCH($A122,'Strategy Watchlist'!$A:$A,0)),"Not Found")</f>
        <v>https://www.tradingview.com/chart/Dvd9vGt5/</v>
      </c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</row>
    <row r="123" spans="1:119" ht="14.25" customHeight="1" x14ac:dyDescent="0.2">
      <c r="A123" s="29" t="str">
        <f t="shared" si="42"/>
        <v>|LINK|McGinley|45m</v>
      </c>
      <c r="B123" s="29" t="s">
        <v>28</v>
      </c>
      <c r="C123" s="29">
        <f t="shared" si="43"/>
        <v>0.4</v>
      </c>
      <c r="D123" s="29"/>
      <c r="E123" s="29" t="s">
        <v>25</v>
      </c>
      <c r="F123" s="29" t="s">
        <v>47</v>
      </c>
      <c r="G123" s="29" t="s">
        <v>32</v>
      </c>
      <c r="H123" s="30">
        <v>20000</v>
      </c>
      <c r="I123" s="30">
        <f t="shared" si="44"/>
        <v>4200</v>
      </c>
      <c r="J123" s="30">
        <v>4600</v>
      </c>
      <c r="K123" s="29">
        <v>160</v>
      </c>
      <c r="L123" s="72">
        <f t="array" ref="L123">IFERROR(INDEX('Strategy Watchlist'!L:L,MATCH($A123,'Strategy Watchlist'!$A:$A,0)),"Not Found")</f>
        <v>7.7349823321554769</v>
      </c>
      <c r="M123" s="73">
        <f t="array" ref="M123">IFERROR(INDEX('Strategy Watchlist'!M:M,MATCH($A123,'Strategy Watchlist'!$A:$A,0)),"Not Found")</f>
        <v>147</v>
      </c>
      <c r="N123" s="74">
        <f t="array" ref="N123">IFERROR(INDEX('Strategy Watchlist'!N:N,MATCH($A123,'Strategy Watchlist'!$A:$A,0)),"Not Found")</f>
        <v>45802</v>
      </c>
      <c r="O123" s="28">
        <f t="array" ref="O123">IFERROR(INDEX('Strategy Watchlist'!P:P,MATCH($A123,'Strategy Watchlist'!$A:$A,0)),"Not Found")</f>
        <v>-0.55000000000000004</v>
      </c>
      <c r="P123" s="28">
        <f t="array" ref="P123">IFERROR(INDEX('Strategy Watchlist'!Q:Q,MATCH($A123,'Strategy Watchlist'!$A:$A,0)),"Not Found")</f>
        <v>-1.1000000000000001</v>
      </c>
      <c r="Q123" s="28">
        <f t="array" ref="Q123">IFERROR(INDEX('Strategy Watchlist'!R:R,MATCH($A123,'Strategy Watchlist'!$A:$A,0)),"Not Found")</f>
        <v>2.98</v>
      </c>
      <c r="R123" s="28">
        <f t="array" ref="R123">IFERROR(INDEX('Strategy Watchlist'!S:S,MATCH($A123,'Strategy Watchlist'!$A:$A,0)),"Not Found")</f>
        <v>2.97</v>
      </c>
      <c r="S123" s="28">
        <f t="array" ref="S123">IFERROR(INDEX('Strategy Watchlist'!T:T,MATCH($A123,'Strategy Watchlist'!$A:$A,0)),"Not Found")</f>
        <v>2.9</v>
      </c>
      <c r="T123" s="28">
        <f t="array" ref="T123">IFERROR(INDEX('Strategy Watchlist'!U:U,MATCH($A123,'Strategy Watchlist'!$A:$A,0)),"Not Found")</f>
        <v>2</v>
      </c>
      <c r="U123" s="28">
        <f t="array" ref="U123">IFERROR(INDEX('Strategy Watchlist'!V:V,MATCH($A123,'Strategy Watchlist'!$A:$A,0)),"Not Found")</f>
        <v>2.2400000000000002</v>
      </c>
      <c r="V123" s="28">
        <f t="array" ref="V123">IFERROR(INDEX('Strategy Watchlist'!W:W,MATCH($A123,'Strategy Watchlist'!$A:$A,0)),"Not Found")</f>
        <v>0.79</v>
      </c>
      <c r="W123" s="28">
        <f t="array" ref="W123">IFERROR(INDEX('Strategy Watchlist'!X:X,MATCH($A123,'Strategy Watchlist'!$A:$A,0)),"Not Found")</f>
        <v>0.69</v>
      </c>
      <c r="X123" s="28">
        <f t="array" ref="X123">IFERROR(INDEX('Strategy Watchlist'!Y:Y,MATCH($A123,'Strategy Watchlist'!$A:$A,0)),"Not Found")</f>
        <v>-0.61</v>
      </c>
      <c r="Y123" s="34" t="str">
        <f t="array" ref="Y123">IFERROR(INDEX('Strategy Watchlist'!Z:Z,MATCH($A123,'Strategy Watchlist'!$A:$A,0)),"Not Found")</f>
        <v>https://www.tradingview.com/chart/elrmSYee/</v>
      </c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</row>
    <row r="124" spans="1:119" ht="14.25" customHeight="1" x14ac:dyDescent="0.2">
      <c r="A124" s="17" t="str">
        <f t="shared" si="42"/>
        <v>[e92283ec]|HBAR|Heiken-Ashi|30m</v>
      </c>
      <c r="B124" s="17" t="s">
        <v>28</v>
      </c>
      <c r="C124" s="17">
        <f t="shared" si="43"/>
        <v>0.36</v>
      </c>
      <c r="D124" s="17" t="s">
        <v>35</v>
      </c>
      <c r="E124" s="17" t="s">
        <v>36</v>
      </c>
      <c r="F124" s="17" t="s">
        <v>37</v>
      </c>
      <c r="G124" s="23" t="s">
        <v>38</v>
      </c>
      <c r="H124" s="24">
        <v>18000</v>
      </c>
      <c r="I124" s="24">
        <f t="shared" si="44"/>
        <v>3780</v>
      </c>
      <c r="J124" s="24">
        <v>5270</v>
      </c>
      <c r="K124" s="17">
        <v>200</v>
      </c>
      <c r="L124" s="19">
        <f t="array" ref="L124">IFERROR(INDEX('Strategy Watchlist'!L:L,MATCH($A124,'Strategy Watchlist'!$A:$A,0)),"Not Found")</f>
        <v>6.7744000000000009</v>
      </c>
      <c r="M124" s="12">
        <f t="array" ref="M124">IFERROR(INDEX('Strategy Watchlist'!M:M,MATCH($A124,'Strategy Watchlist'!$A:$A,0)),"Not Found")</f>
        <v>224</v>
      </c>
      <c r="N124" s="20">
        <f t="array" ref="N124">IFERROR(INDEX('Strategy Watchlist'!N:N,MATCH($A124,'Strategy Watchlist'!$A:$A,0)),"Not Found")</f>
        <v>45833</v>
      </c>
      <c r="O124" s="21">
        <f t="array" ref="O124">IFERROR(INDEX('Strategy Watchlist'!P:P,MATCH($A124,'Strategy Watchlist'!$A:$A,0)),"Not Found")</f>
        <v>1.01</v>
      </c>
      <c r="P124" s="21">
        <f t="array" ref="P124">IFERROR(INDEX('Strategy Watchlist'!Q:Q,MATCH($A124,'Strategy Watchlist'!$A:$A,0)),"Not Found")</f>
        <v>-1.1499999999999999</v>
      </c>
      <c r="Q124" s="21">
        <f t="array" ref="Q124">IFERROR(INDEX('Strategy Watchlist'!R:R,MATCH($A124,'Strategy Watchlist'!$A:$A,0)),"Not Found")</f>
        <v>0.83</v>
      </c>
      <c r="R124" s="21">
        <f t="array" ref="R124">IFERROR(INDEX('Strategy Watchlist'!S:S,MATCH($A124,'Strategy Watchlist'!$A:$A,0)),"Not Found")</f>
        <v>1.52</v>
      </c>
      <c r="S124" s="21">
        <f t="array" ref="S124">IFERROR(INDEX('Strategy Watchlist'!T:T,MATCH($A124,'Strategy Watchlist'!$A:$A,0)),"Not Found")</f>
        <v>-0.03</v>
      </c>
      <c r="T124" s="21">
        <f t="array" ref="T124">IFERROR(INDEX('Strategy Watchlist'!U:U,MATCH($A124,'Strategy Watchlist'!$A:$A,0)),"Not Found")</f>
        <v>4.38</v>
      </c>
      <c r="U124" s="21">
        <f t="array" ref="U124">IFERROR(INDEX('Strategy Watchlist'!V:V,MATCH($A124,'Strategy Watchlist'!$A:$A,0)),"Not Found")</f>
        <v>1.95</v>
      </c>
      <c r="V124" s="21">
        <f t="array" ref="V124">IFERROR(INDEX('Strategy Watchlist'!W:W,MATCH($A124,'Strategy Watchlist'!$A:$A,0)),"Not Found")</f>
        <v>1.98</v>
      </c>
      <c r="W124" s="21">
        <f t="array" ref="W124">IFERROR(INDEX('Strategy Watchlist'!X:X,MATCH($A124,'Strategy Watchlist'!$A:$A,0)),"Not Found")</f>
        <v>4.59</v>
      </c>
      <c r="X124" s="21">
        <f t="array" ref="X124">IFERROR(INDEX('Strategy Watchlist'!Y:Y,MATCH($A124,'Strategy Watchlist'!$A:$A,0)),"Not Found")</f>
        <v>-1.3</v>
      </c>
      <c r="Y124" s="22" t="str">
        <f t="array" ref="Y124">IFERROR(INDEX('Strategy Watchlist'!Z:Z,MATCH($A124,'Strategy Watchlist'!$A:$A,0)),"Not Found")</f>
        <v>https://www.tradingview.com/chart/ygHXwF84/</v>
      </c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</row>
    <row r="125" spans="1:119" ht="14.25" customHeight="1" x14ac:dyDescent="0.2">
      <c r="A125" s="29" t="str">
        <f t="shared" si="42"/>
        <v>[1e052093]|SOL|FlashProfit|59m</v>
      </c>
      <c r="B125" s="29" t="s">
        <v>28</v>
      </c>
      <c r="C125" s="29">
        <f t="shared" si="43"/>
        <v>0.2</v>
      </c>
      <c r="D125" s="25" t="s">
        <v>83</v>
      </c>
      <c r="E125" s="29" t="s">
        <v>43</v>
      </c>
      <c r="F125" s="29" t="s">
        <v>84</v>
      </c>
      <c r="G125" s="25" t="s">
        <v>85</v>
      </c>
      <c r="H125" s="30">
        <v>10000</v>
      </c>
      <c r="I125" s="30">
        <f t="shared" si="44"/>
        <v>2100</v>
      </c>
      <c r="J125" s="73">
        <v>4800</v>
      </c>
      <c r="K125" s="25">
        <v>100</v>
      </c>
      <c r="L125" s="72">
        <f t="array" ref="L125">IFERROR(INDEX('Strategy Watchlist'!L:L,MATCH($A125,'Strategy Watchlist'!$A:$A,0)),"Not Found")</f>
        <v>4.1988505747126439</v>
      </c>
      <c r="M125" s="73">
        <f t="array" ref="M125">IFERROR(INDEX('Strategy Watchlist'!M:M,MATCH($A125,'Strategy Watchlist'!$A:$A,0)),"Not Found")</f>
        <v>567</v>
      </c>
      <c r="N125" s="74">
        <f t="array" ref="N125">IFERROR(INDEX('Strategy Watchlist'!N:N,MATCH($A125,'Strategy Watchlist'!$A:$A,0)),"Not Found")</f>
        <v>45925</v>
      </c>
      <c r="O125" s="28">
        <f t="array" ref="O125">IFERROR(INDEX('Strategy Watchlist'!P:P,MATCH($A125,'Strategy Watchlist'!$A:$A,0)),"Not Found")</f>
        <v>0.82</v>
      </c>
      <c r="P125" s="28">
        <f t="array" ref="P125">IFERROR(INDEX('Strategy Watchlist'!Q:Q,MATCH($A125,'Strategy Watchlist'!$A:$A,0)),"Not Found")</f>
        <v>6.44</v>
      </c>
      <c r="Q125" s="28">
        <f t="array" ref="Q125">IFERROR(INDEX('Strategy Watchlist'!R:R,MATCH($A125,'Strategy Watchlist'!$A:$A,0)),"Not Found")</f>
        <v>4.43</v>
      </c>
      <c r="R125" s="28">
        <f t="array" ref="R125">IFERROR(INDEX('Strategy Watchlist'!S:S,MATCH($A125,'Strategy Watchlist'!$A:$A,0)),"Not Found")</f>
        <v>-0.32</v>
      </c>
      <c r="S125" s="28">
        <f t="array" ref="S125">IFERROR(INDEX('Strategy Watchlist'!T:T,MATCH($A125,'Strategy Watchlist'!$A:$A,0)),"Not Found")</f>
        <v>0.78</v>
      </c>
      <c r="T125" s="28">
        <f t="array" ref="T125">IFERROR(INDEX('Strategy Watchlist'!U:U,MATCH($A125,'Strategy Watchlist'!$A:$A,0)),"Not Found")</f>
        <v>2.0299999999999998</v>
      </c>
      <c r="U125" s="28">
        <f t="array" ref="U125">IFERROR(INDEX('Strategy Watchlist'!V:V,MATCH($A125,'Strategy Watchlist'!$A:$A,0)),"Not Found")</f>
        <v>0.72</v>
      </c>
      <c r="V125" s="28">
        <f t="array" ref="V125">IFERROR(INDEX('Strategy Watchlist'!W:W,MATCH($A125,'Strategy Watchlist'!$A:$A,0)),"Not Found")</f>
        <v>2.39</v>
      </c>
      <c r="W125" s="28">
        <f t="array" ref="W125">IFERROR(INDEX('Strategy Watchlist'!X:X,MATCH($A125,'Strategy Watchlist'!$A:$A,0)),"Not Found")</f>
        <v>1.96</v>
      </c>
      <c r="X125" s="28">
        <f t="array" ref="X125">IFERROR(INDEX('Strategy Watchlist'!Y:Y,MATCH($A125,'Strategy Watchlist'!$A:$A,0)),"Not Found")</f>
        <v>0.45</v>
      </c>
      <c r="Y125" s="34" t="str">
        <f t="array" ref="Y125">IFERROR(INDEX('Strategy Watchlist'!Z:Z,MATCH($A125,'Strategy Watchlist'!$A:$A,0)),"Not Found")</f>
        <v>https://www.tradingview.com/chart/mnGjsgoY/</v>
      </c>
      <c r="Z125" s="25"/>
      <c r="AA125" s="25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</row>
    <row r="126" spans="1:119" ht="14.25" customHeight="1" x14ac:dyDescent="0.2">
      <c r="A126" s="17" t="str">
        <f t="shared" si="42"/>
        <v>[65caeaa0]|ROSE|WolfnBear|1H</v>
      </c>
      <c r="B126" s="17" t="s">
        <v>28</v>
      </c>
      <c r="C126" s="17">
        <f t="shared" si="43"/>
        <v>0.4</v>
      </c>
      <c r="D126" s="17" t="s">
        <v>49</v>
      </c>
      <c r="E126" s="17" t="s">
        <v>50</v>
      </c>
      <c r="F126" s="17" t="s">
        <v>51</v>
      </c>
      <c r="G126" s="17" t="s">
        <v>52</v>
      </c>
      <c r="H126" s="24">
        <v>20000</v>
      </c>
      <c r="I126" s="24">
        <f t="shared" si="44"/>
        <v>4200</v>
      </c>
      <c r="J126" s="24">
        <v>3200</v>
      </c>
      <c r="K126" s="17">
        <v>150</v>
      </c>
      <c r="L126" s="19">
        <f t="array" ref="L126">IFERROR(INDEX('Strategy Watchlist'!L:L,MATCH($A126,'Strategy Watchlist'!$A:$A,0)),"Not Found")</f>
        <v>9.1257485029940124</v>
      </c>
      <c r="M126" s="12">
        <f t="array" ref="M126">IFERROR(INDEX('Strategy Watchlist'!M:M,MATCH($A126,'Strategy Watchlist'!$A:$A,0)),"Not Found")</f>
        <v>172</v>
      </c>
      <c r="N126" s="20">
        <f t="array" ref="N126">IFERROR(INDEX('Strategy Watchlist'!N:N,MATCH($A126,'Strategy Watchlist'!$A:$A,0)),"Not Found")</f>
        <v>45682</v>
      </c>
      <c r="O126" s="21">
        <f t="array" ref="O126">IFERROR(INDEX('Strategy Watchlist'!P:P,MATCH($A126,'Strategy Watchlist'!$A:$A,0)),"Not Found")</f>
        <v>1.04</v>
      </c>
      <c r="P126" s="21">
        <f t="array" ref="P126">IFERROR(INDEX('Strategy Watchlist'!Q:Q,MATCH($A126,'Strategy Watchlist'!$A:$A,0)),"Not Found")</f>
        <v>2.39</v>
      </c>
      <c r="Q126" s="21">
        <f t="array" ref="Q126">IFERROR(INDEX('Strategy Watchlist'!R:R,MATCH($A126,'Strategy Watchlist'!$A:$A,0)),"Not Found")</f>
        <v>0.38</v>
      </c>
      <c r="R126" s="21">
        <f t="array" ref="R126">IFERROR(INDEX('Strategy Watchlist'!S:S,MATCH($A126,'Strategy Watchlist'!$A:$A,0)),"Not Found")</f>
        <v>1.76</v>
      </c>
      <c r="S126" s="21">
        <f t="array" ref="S126">IFERROR(INDEX('Strategy Watchlist'!T:T,MATCH($A126,'Strategy Watchlist'!$A:$A,0)),"Not Found")</f>
        <v>0.72</v>
      </c>
      <c r="T126" s="21">
        <f t="array" ref="T126">IFERROR(INDEX('Strategy Watchlist'!U:U,MATCH($A126,'Strategy Watchlist'!$A:$A,0)),"Not Found")</f>
        <v>-0.84</v>
      </c>
      <c r="U126" s="21">
        <f t="array" ref="U126">IFERROR(INDEX('Strategy Watchlist'!V:V,MATCH($A126,'Strategy Watchlist'!$A:$A,0)),"Not Found")</f>
        <v>-0.24</v>
      </c>
      <c r="V126" s="21">
        <f t="array" ref="V126">IFERROR(INDEX('Strategy Watchlist'!W:W,MATCH($A126,'Strategy Watchlist'!$A:$A,0)),"Not Found")</f>
        <v>-1.19</v>
      </c>
      <c r="W126" s="21">
        <f t="array" ref="W126">IFERROR(INDEX('Strategy Watchlist'!X:X,MATCH($A126,'Strategy Watchlist'!$A:$A,0)),"Not Found")</f>
        <v>0.18</v>
      </c>
      <c r="X126" s="21">
        <f t="array" ref="X126">IFERROR(INDEX('Strategy Watchlist'!Y:Y,MATCH($A126,'Strategy Watchlist'!$A:$A,0)),"Not Found")</f>
        <v>2.34</v>
      </c>
      <c r="Y126" s="22" t="str">
        <f t="array" ref="Y126">IFERROR(INDEX('Strategy Watchlist'!Z:Z,MATCH($A126,'Strategy Watchlist'!$A:$A,0)),"Not Found")</f>
        <v>https://www.tradingview.com/chart/p2Bvj1LX/</v>
      </c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</row>
    <row r="127" spans="1:119" ht="14.25" customHeight="1" x14ac:dyDescent="0.2">
      <c r="A127" s="17" t="str">
        <f t="shared" si="42"/>
        <v>|APE|precisionTrend|30m</v>
      </c>
      <c r="B127" s="17" t="s">
        <v>28</v>
      </c>
      <c r="C127" s="17">
        <f t="shared" si="43"/>
        <v>0.3</v>
      </c>
      <c r="D127" s="17"/>
      <c r="E127" s="17" t="s">
        <v>53</v>
      </c>
      <c r="F127" s="17" t="s">
        <v>54</v>
      </c>
      <c r="G127" s="17" t="s">
        <v>38</v>
      </c>
      <c r="H127" s="24">
        <v>15000</v>
      </c>
      <c r="I127" s="24">
        <f t="shared" si="44"/>
        <v>3150</v>
      </c>
      <c r="J127" s="24">
        <v>3000</v>
      </c>
      <c r="K127" s="17">
        <v>120</v>
      </c>
      <c r="L127" s="19">
        <f t="array" ref="L127">IFERROR(INDEX('Strategy Watchlist'!L:L,MATCH($A127,'Strategy Watchlist'!$A:$A,0)),"Not Found")</f>
        <v>4.1660424469413231</v>
      </c>
      <c r="M127" s="12">
        <f t="array" ref="M127">IFERROR(INDEX('Strategy Watchlist'!M:M,MATCH($A127,'Strategy Watchlist'!$A:$A,0)),"Not Found")</f>
        <v>278</v>
      </c>
      <c r="N127" s="20">
        <f t="array" ref="N127">IFERROR(INDEX('Strategy Watchlist'!N:N,MATCH($A127,'Strategy Watchlist'!$A:$A,0)),"Not Found")</f>
        <v>45778</v>
      </c>
      <c r="O127" s="21">
        <f t="array" ref="O127">IFERROR(INDEX('Strategy Watchlist'!P:P,MATCH($A127,'Strategy Watchlist'!$A:$A,0)),"Not Found")</f>
        <v>-0.99</v>
      </c>
      <c r="P127" s="21">
        <f t="array" ref="P127">IFERROR(INDEX('Strategy Watchlist'!Q:Q,MATCH($A127,'Strategy Watchlist'!$A:$A,0)),"Not Found")</f>
        <v>3</v>
      </c>
      <c r="Q127" s="21">
        <f t="array" ref="Q127">IFERROR(INDEX('Strategy Watchlist'!R:R,MATCH($A127,'Strategy Watchlist'!$A:$A,0)),"Not Found")</f>
        <v>1.66</v>
      </c>
      <c r="R127" s="21">
        <f t="array" ref="R127">IFERROR(INDEX('Strategy Watchlist'!S:S,MATCH($A127,'Strategy Watchlist'!$A:$A,0)),"Not Found")</f>
        <v>-2.79</v>
      </c>
      <c r="S127" s="21">
        <f t="array" ref="S127">IFERROR(INDEX('Strategy Watchlist'!T:T,MATCH($A127,'Strategy Watchlist'!$A:$A,0)),"Not Found")</f>
        <v>0.63</v>
      </c>
      <c r="T127" s="21">
        <f t="array" ref="T127">IFERROR(INDEX('Strategy Watchlist'!U:U,MATCH($A127,'Strategy Watchlist'!$A:$A,0)),"Not Found")</f>
        <v>6.17</v>
      </c>
      <c r="U127" s="21">
        <f t="array" ref="U127">IFERROR(INDEX('Strategy Watchlist'!V:V,MATCH($A127,'Strategy Watchlist'!$A:$A,0)),"Not Found")</f>
        <v>3.56</v>
      </c>
      <c r="V127" s="21">
        <f t="array" ref="V127">IFERROR(INDEX('Strategy Watchlist'!W:W,MATCH($A127,'Strategy Watchlist'!$A:$A,0)),"Not Found")</f>
        <v>0.87</v>
      </c>
      <c r="W127" s="21">
        <f t="array" ref="W127">IFERROR(INDEX('Strategy Watchlist'!X:X,MATCH($A127,'Strategy Watchlist'!$A:$A,0)),"Not Found")</f>
        <v>1.73</v>
      </c>
      <c r="X127" s="21">
        <f t="array" ref="X127">IFERROR(INDEX('Strategy Watchlist'!Y:Y,MATCH($A127,'Strategy Watchlist'!$A:$A,0)),"Not Found")</f>
        <v>3.54</v>
      </c>
      <c r="Y127" s="22" t="str">
        <f t="array" ref="Y127">IFERROR(INDEX('Strategy Watchlist'!Z:Z,MATCH($A127,'Strategy Watchlist'!$A:$A,0)),"Not Found")</f>
        <v>https://www.tradingview.com/chart/oDhEAePi/</v>
      </c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</row>
    <row r="128" spans="1:119" ht="14.25" customHeight="1" x14ac:dyDescent="0.2">
      <c r="A128" s="17" t="str">
        <f t="shared" si="42"/>
        <v>[b39d1d6e]|PIXEL|WolfnBear|1H</v>
      </c>
      <c r="B128" s="1" t="s">
        <v>28</v>
      </c>
      <c r="C128" s="17">
        <f t="shared" si="43"/>
        <v>0.4</v>
      </c>
      <c r="D128" s="58" t="s">
        <v>93</v>
      </c>
      <c r="E128" s="1" t="s">
        <v>94</v>
      </c>
      <c r="F128" s="1" t="s">
        <v>51</v>
      </c>
      <c r="G128" s="1" t="s">
        <v>52</v>
      </c>
      <c r="H128" s="2">
        <v>20000</v>
      </c>
      <c r="I128" s="40">
        <f t="shared" si="44"/>
        <v>4200</v>
      </c>
      <c r="J128" s="2">
        <f t="shared" ref="J128:J130" si="45">I128</f>
        <v>4200</v>
      </c>
      <c r="K128" s="2">
        <v>150</v>
      </c>
      <c r="L128" s="19">
        <f t="array" ref="L128">IFERROR(INDEX('Strategy Watchlist'!L:L,MATCH($A128,'Strategy Watchlist'!$A:$A,0)),"Not Found")</f>
        <v>6.7377398720682304</v>
      </c>
      <c r="M128" s="12">
        <f t="array" ref="M128">IFERROR(INDEX('Strategy Watchlist'!M:M,MATCH($A128,'Strategy Watchlist'!$A:$A,0)),"Not Found")</f>
        <v>124</v>
      </c>
      <c r="N128" s="20">
        <f t="array" ref="N128">IFERROR(INDEX('Strategy Watchlist'!N:N,MATCH($A128,'Strategy Watchlist'!$A:$A,0)),"Not Found")</f>
        <v>45833</v>
      </c>
      <c r="O128" s="21">
        <f t="array" ref="O128">IFERROR(INDEX('Strategy Watchlist'!P:P,MATCH($A128,'Strategy Watchlist'!$A:$A,0)),"Not Found")</f>
        <v>1.78</v>
      </c>
      <c r="P128" s="21">
        <f t="array" ref="P128">IFERROR(INDEX('Strategy Watchlist'!Q:Q,MATCH($A128,'Strategy Watchlist'!$A:$A,0)),"Not Found")</f>
        <v>-0.57999999999999996</v>
      </c>
      <c r="Q128" s="21">
        <f t="array" ref="Q128">IFERROR(INDEX('Strategy Watchlist'!R:R,MATCH($A128,'Strategy Watchlist'!$A:$A,0)),"Not Found")</f>
        <v>2.67</v>
      </c>
      <c r="R128" s="21">
        <f t="array" ref="R128">IFERROR(INDEX('Strategy Watchlist'!S:S,MATCH($A128,'Strategy Watchlist'!$A:$A,0)),"Not Found")</f>
        <v>4.07</v>
      </c>
      <c r="S128" s="21">
        <f t="array" ref="S128">IFERROR(INDEX('Strategy Watchlist'!T:T,MATCH($A128,'Strategy Watchlist'!$A:$A,0)),"Not Found")</f>
        <v>2.2999999999999998</v>
      </c>
      <c r="T128" s="21">
        <f t="array" ref="T128">IFERROR(INDEX('Strategy Watchlist'!U:U,MATCH($A128,'Strategy Watchlist'!$A:$A,0)),"Not Found")</f>
        <v>1.05</v>
      </c>
      <c r="U128" s="21">
        <f t="array" ref="U128">IFERROR(INDEX('Strategy Watchlist'!V:V,MATCH($A128,'Strategy Watchlist'!$A:$A,0)),"Not Found")</f>
        <v>-1.1299999999999999</v>
      </c>
      <c r="V128" s="21">
        <f t="array" ref="V128">IFERROR(INDEX('Strategy Watchlist'!W:W,MATCH($A128,'Strategy Watchlist'!$A:$A,0)),"Not Found")</f>
        <v>0.64</v>
      </c>
      <c r="W128" s="21">
        <f t="array" ref="W128">IFERROR(INDEX('Strategy Watchlist'!X:X,MATCH($A128,'Strategy Watchlist'!$A:$A,0)),"Not Found")</f>
        <v>-0.53</v>
      </c>
      <c r="X128" s="21">
        <f t="array" ref="X128">IFERROR(INDEX('Strategy Watchlist'!Y:Y,MATCH($A128,'Strategy Watchlist'!$A:$A,0)),"Not Found")</f>
        <v>-0.16</v>
      </c>
      <c r="Y128" s="22" t="str">
        <f t="array" ref="Y128">IFERROR(INDEX('Strategy Watchlist'!Z:Z,MATCH($A128,'Strategy Watchlist'!$A:$A,0)),"Not Found")</f>
        <v>https://www.tradingview.com/chart/7HMGQSsJ/</v>
      </c>
      <c r="Z128" s="58"/>
      <c r="AA128" s="58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">
        <v>62</v>
      </c>
      <c r="AV128" s="1" t="s">
        <v>95</v>
      </c>
      <c r="AW128" s="1" t="s">
        <v>94</v>
      </c>
      <c r="AX128" s="1" t="s">
        <v>51</v>
      </c>
      <c r="AY128" s="18">
        <v>8.125</v>
      </c>
      <c r="AZ128" s="4">
        <v>124</v>
      </c>
      <c r="BA128" s="1" t="s">
        <v>52</v>
      </c>
      <c r="BB128" s="76">
        <v>45833</v>
      </c>
      <c r="BC128" s="77">
        <v>-0.09</v>
      </c>
      <c r="BD128" s="77">
        <v>2.89</v>
      </c>
      <c r="BE128" s="77">
        <v>4.46</v>
      </c>
      <c r="BF128" s="77">
        <v>2.52</v>
      </c>
      <c r="BG128" s="77">
        <v>1.25</v>
      </c>
      <c r="BH128" s="77">
        <v>-1.1299999999999999</v>
      </c>
      <c r="BI128" s="77">
        <v>0.64</v>
      </c>
      <c r="BJ128" s="77">
        <v>-0.53</v>
      </c>
      <c r="BK128" s="77">
        <v>-0.16</v>
      </c>
      <c r="BL128" s="1" t="s">
        <v>93</v>
      </c>
      <c r="BM128" s="1" t="s">
        <v>96</v>
      </c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</row>
    <row r="129" spans="1:119" ht="14.25" customHeight="1" x14ac:dyDescent="0.2">
      <c r="A129" s="39" t="str">
        <f t="shared" si="42"/>
        <v>[8a00ecfa]|ADA|JpTrendForce|1H</v>
      </c>
      <c r="B129" s="78" t="s">
        <v>28</v>
      </c>
      <c r="C129" s="17">
        <f t="shared" si="43"/>
        <v>0.24</v>
      </c>
      <c r="D129" s="3" t="s">
        <v>97</v>
      </c>
      <c r="E129" s="78" t="s">
        <v>98</v>
      </c>
      <c r="F129" s="78" t="s">
        <v>99</v>
      </c>
      <c r="G129" s="78" t="s">
        <v>52</v>
      </c>
      <c r="H129" s="17">
        <v>12000</v>
      </c>
      <c r="I129" s="24">
        <f t="shared" si="44"/>
        <v>2520</v>
      </c>
      <c r="J129" s="24">
        <f t="shared" si="45"/>
        <v>2520</v>
      </c>
      <c r="K129" s="1">
        <v>150</v>
      </c>
      <c r="L129" s="18">
        <f>38.28/5.19</f>
        <v>7.3757225433526008</v>
      </c>
      <c r="M129" s="4">
        <v>160</v>
      </c>
      <c r="N129" s="79">
        <v>45682</v>
      </c>
      <c r="O129" s="21">
        <f t="array" ref="O129">IFERROR(INDEX('Strategy Watchlist'!P:P,MATCH($A129,'Strategy Watchlist'!$A:$A,0)),"Not Found")</f>
        <v>3.77</v>
      </c>
      <c r="P129" s="3">
        <v>-1.61</v>
      </c>
      <c r="Q129" s="3">
        <v>1.35</v>
      </c>
      <c r="R129" s="3">
        <v>2.58</v>
      </c>
      <c r="S129" s="3">
        <v>3.16</v>
      </c>
      <c r="T129" s="3">
        <v>1.52</v>
      </c>
      <c r="U129" s="3">
        <v>-1.1000000000000001</v>
      </c>
      <c r="V129" s="3">
        <v>-1.24</v>
      </c>
      <c r="W129" s="3">
        <v>0</v>
      </c>
      <c r="X129" s="3">
        <v>0</v>
      </c>
      <c r="Y129" s="80" t="s">
        <v>100</v>
      </c>
      <c r="Z129" s="3"/>
      <c r="AA129" s="3"/>
      <c r="AB129" s="3"/>
      <c r="AC129" s="3"/>
      <c r="AD129" s="3"/>
      <c r="AU129" s="39" t="str">
        <f t="shared" ref="AU129:AU130" si="46">AX129&amp;"|"&amp;AY129&amp;"|"&amp;AZ129&amp;"|"&amp;BA129</f>
        <v>[8a00ecfa]|ADA|JpTrendForce|1H</v>
      </c>
      <c r="AV129" s="78" t="s">
        <v>62</v>
      </c>
      <c r="AW129" s="1"/>
      <c r="AX129" s="3" t="s">
        <v>97</v>
      </c>
      <c r="AY129" s="78" t="s">
        <v>98</v>
      </c>
      <c r="AZ129" s="78" t="s">
        <v>99</v>
      </c>
      <c r="BA129" s="78" t="s">
        <v>52</v>
      </c>
      <c r="BB129" s="18"/>
      <c r="BC129" s="18"/>
      <c r="BD129" s="18"/>
      <c r="BE129" s="18"/>
      <c r="BF129" s="18">
        <f>38.28/5.19</f>
        <v>7.3757225433526008</v>
      </c>
      <c r="BG129" s="4">
        <v>160</v>
      </c>
      <c r="BH129" s="79">
        <v>45682</v>
      </c>
      <c r="BI129" s="3">
        <v>3.77</v>
      </c>
      <c r="BJ129" s="3">
        <v>-1.61</v>
      </c>
      <c r="BK129" s="3">
        <v>1.35</v>
      </c>
      <c r="BL129" s="3">
        <v>2.58</v>
      </c>
      <c r="BM129" s="3">
        <v>3.16</v>
      </c>
      <c r="BN129" s="3">
        <v>1.52</v>
      </c>
      <c r="BO129" s="3">
        <v>-1.1000000000000001</v>
      </c>
      <c r="BP129" s="3">
        <v>-1.24</v>
      </c>
      <c r="BQ129" s="3">
        <v>0</v>
      </c>
      <c r="BR129" s="3">
        <v>0</v>
      </c>
      <c r="BS129" s="80" t="s">
        <v>100</v>
      </c>
      <c r="BT129" s="3"/>
      <c r="BU129" s="3"/>
      <c r="BV129" s="3"/>
      <c r="BW129" s="3"/>
      <c r="BX129" s="3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</row>
    <row r="130" spans="1:119" ht="14.25" customHeight="1" x14ac:dyDescent="0.2">
      <c r="A130" s="39" t="str">
        <f t="shared" si="42"/>
        <v>[fbf06b43]|MNT|Trendhoo|37m</v>
      </c>
      <c r="B130" s="42" t="s">
        <v>28</v>
      </c>
      <c r="C130" s="17">
        <f t="shared" si="43"/>
        <v>0.3</v>
      </c>
      <c r="D130" s="42" t="s">
        <v>101</v>
      </c>
      <c r="E130" s="42" t="s">
        <v>102</v>
      </c>
      <c r="F130" s="42" t="s">
        <v>67</v>
      </c>
      <c r="G130" s="42" t="s">
        <v>103</v>
      </c>
      <c r="H130" s="17">
        <v>15000</v>
      </c>
      <c r="I130" s="24">
        <f t="shared" si="44"/>
        <v>3150</v>
      </c>
      <c r="J130" s="24">
        <f t="shared" si="45"/>
        <v>3150</v>
      </c>
      <c r="K130" s="1">
        <v>150</v>
      </c>
      <c r="L130" s="43">
        <f>106.85/16.15</f>
        <v>6.6160990712074303</v>
      </c>
      <c r="M130" s="44">
        <v>846</v>
      </c>
      <c r="N130" s="81">
        <v>45863</v>
      </c>
      <c r="O130" s="21">
        <f t="array" ref="O130">IFERROR(INDEX('Strategy Watchlist'!P:P,MATCH($A130,'Strategy Watchlist'!$A:$A,0)),"Not Found")</f>
        <v>2.4900000000000002</v>
      </c>
      <c r="P130" s="21">
        <v>6.22</v>
      </c>
      <c r="Q130" s="21">
        <v>2.4</v>
      </c>
      <c r="R130" s="21">
        <v>14.95</v>
      </c>
      <c r="S130" s="21">
        <v>-0.75</v>
      </c>
      <c r="T130" s="21">
        <v>2.1800000000000002</v>
      </c>
      <c r="U130" s="21">
        <v>-6.96</v>
      </c>
      <c r="V130" s="21">
        <v>-0.73</v>
      </c>
      <c r="W130" s="21">
        <v>-1.92</v>
      </c>
      <c r="X130" s="21">
        <v>6.73</v>
      </c>
      <c r="Y130" s="47" t="s">
        <v>104</v>
      </c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39" t="str">
        <f t="shared" si="46"/>
        <v>[fbf06b43]|MNT|Trendhoo|37m</v>
      </c>
      <c r="AV130" s="42" t="s">
        <v>28</v>
      </c>
      <c r="AW130" s="17">
        <v>0.2</v>
      </c>
      <c r="AX130" s="42" t="s">
        <v>101</v>
      </c>
      <c r="AY130" s="42" t="s">
        <v>102</v>
      </c>
      <c r="AZ130" s="42" t="s">
        <v>67</v>
      </c>
      <c r="BA130" s="42" t="s">
        <v>103</v>
      </c>
      <c r="BB130" s="43"/>
      <c r="BC130" s="43"/>
      <c r="BD130" s="43"/>
      <c r="BE130" s="43"/>
      <c r="BF130" s="43">
        <f>106.85/16.15</f>
        <v>6.6160990712074303</v>
      </c>
      <c r="BG130" s="44">
        <v>846</v>
      </c>
      <c r="BH130" s="81">
        <v>45863</v>
      </c>
      <c r="BI130" s="21">
        <v>2.4900000000000002</v>
      </c>
      <c r="BJ130" s="21">
        <v>6.22</v>
      </c>
      <c r="BK130" s="21">
        <v>2.4</v>
      </c>
      <c r="BL130" s="21">
        <v>14.95</v>
      </c>
      <c r="BM130" s="21">
        <v>-0.75</v>
      </c>
      <c r="BN130" s="21">
        <v>2.1800000000000002</v>
      </c>
      <c r="BO130" s="21">
        <v>-6.96</v>
      </c>
      <c r="BP130" s="21">
        <v>-0.73</v>
      </c>
      <c r="BQ130" s="21">
        <v>-1.92</v>
      </c>
      <c r="BR130" s="21">
        <v>6.73</v>
      </c>
      <c r="BS130" s="47" t="s">
        <v>104</v>
      </c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</row>
    <row r="131" spans="1:119" ht="14.25" customHeight="1" x14ac:dyDescent="0.2">
      <c r="A131" s="86" t="str">
        <f t="shared" si="42"/>
        <v>|50000||</v>
      </c>
      <c r="B131" s="86" t="s">
        <v>119</v>
      </c>
      <c r="C131" s="86"/>
      <c r="D131" s="86"/>
      <c r="E131" s="86">
        <v>50000</v>
      </c>
      <c r="F131" s="86"/>
      <c r="G131" s="86"/>
      <c r="H131" s="86"/>
      <c r="I131" s="87"/>
      <c r="J131" s="87"/>
      <c r="K131" s="86"/>
      <c r="L131" s="87"/>
      <c r="M131" s="12"/>
      <c r="N131" s="20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</row>
    <row r="132" spans="1:119" ht="14.25" customHeight="1" x14ac:dyDescent="0.2">
      <c r="A132" s="29" t="str">
        <f t="shared" si="42"/>
        <v>[fa32aee4]|LINK|McGinley|45m</v>
      </c>
      <c r="B132" s="97" t="s">
        <v>28</v>
      </c>
      <c r="C132" s="27">
        <f t="shared" ref="C132:C139" si="47">H132/$E$131</f>
        <v>0.3</v>
      </c>
      <c r="D132" s="29" t="s">
        <v>55</v>
      </c>
      <c r="E132" s="29" t="s">
        <v>25</v>
      </c>
      <c r="F132" s="29" t="s">
        <v>47</v>
      </c>
      <c r="G132" s="97" t="s">
        <v>32</v>
      </c>
      <c r="H132" s="30">
        <v>15000</v>
      </c>
      <c r="I132" s="30">
        <f t="shared" ref="I132:I139" si="48">H132*0.21</f>
        <v>3150</v>
      </c>
      <c r="J132" s="30">
        <v>3800</v>
      </c>
      <c r="K132" s="29">
        <v>160</v>
      </c>
      <c r="L132" s="72">
        <f t="array" ref="L132">IFERROR(INDEX('Strategy Watchlist'!L:L,MATCH($A132,'Strategy Watchlist'!$A:$A,0)),"Not Found")</f>
        <v>16.683760683760685</v>
      </c>
      <c r="M132" s="73">
        <f t="array" ref="M132">IFERROR(INDEX('Strategy Watchlist'!M:M,MATCH($A132,'Strategy Watchlist'!$A:$A,0)),"Not Found")</f>
        <v>176</v>
      </c>
      <c r="N132" s="74">
        <f t="array" ref="N132">IFERROR(INDEX('Strategy Watchlist'!N:N,MATCH($A132,'Strategy Watchlist'!$A:$A,0)),"Not Found")</f>
        <v>45833</v>
      </c>
      <c r="O132" s="28">
        <f t="array" ref="O132">IFERROR(INDEX('Strategy Watchlist'!P:P,MATCH($A132,'Strategy Watchlist'!$A:$A,0)),"Not Found")</f>
        <v>-2.02</v>
      </c>
      <c r="P132" s="28">
        <f t="array" ref="P132">IFERROR(INDEX('Strategy Watchlist'!Q:Q,MATCH($A132,'Strategy Watchlist'!$A:$A,0)),"Not Found")</f>
        <v>0.36</v>
      </c>
      <c r="Q132" s="28">
        <f t="array" ref="Q132">IFERROR(INDEX('Strategy Watchlist'!R:R,MATCH($A132,'Strategy Watchlist'!$A:$A,0)),"Not Found")</f>
        <v>7</v>
      </c>
      <c r="R132" s="28">
        <f t="array" ref="R132">IFERROR(INDEX('Strategy Watchlist'!S:S,MATCH($A132,'Strategy Watchlist'!$A:$A,0)),"Not Found")</f>
        <v>3.76</v>
      </c>
      <c r="S132" s="28">
        <f t="array" ref="S132">IFERROR(INDEX('Strategy Watchlist'!T:T,MATCH($A132,'Strategy Watchlist'!$A:$A,0)),"Not Found")</f>
        <v>2.2200000000000002</v>
      </c>
      <c r="T132" s="28">
        <f t="array" ref="T132">IFERROR(INDEX('Strategy Watchlist'!U:U,MATCH($A132,'Strategy Watchlist'!$A:$A,0)),"Not Found")</f>
        <v>6.68</v>
      </c>
      <c r="U132" s="28">
        <f t="array" ref="U132">IFERROR(INDEX('Strategy Watchlist'!V:V,MATCH($A132,'Strategy Watchlist'!$A:$A,0)),"Not Found")</f>
        <v>-0.14000000000000001</v>
      </c>
      <c r="V132" s="28">
        <f t="array" ref="V132">IFERROR(INDEX('Strategy Watchlist'!W:W,MATCH($A132,'Strategy Watchlist'!$A:$A,0)),"Not Found")</f>
        <v>5.22</v>
      </c>
      <c r="W132" s="28">
        <f t="array" ref="W132">IFERROR(INDEX('Strategy Watchlist'!X:X,MATCH($A132,'Strategy Watchlist'!$A:$A,0)),"Not Found")</f>
        <v>0</v>
      </c>
      <c r="X132" s="28">
        <f t="array" ref="X132">IFERROR(INDEX('Strategy Watchlist'!Y:Y,MATCH($A132,'Strategy Watchlist'!$A:$A,0)),"Not Found")</f>
        <v>0.13</v>
      </c>
      <c r="Y132" s="34" t="str">
        <f t="array" ref="Y132">IFERROR(INDEX('Strategy Watchlist'!Z:Z,MATCH($A132,'Strategy Watchlist'!$A:$A,0)),"Not Found")</f>
        <v>https://www.tradingview.com/chart/CTC73Olh/</v>
      </c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</row>
    <row r="133" spans="1:119" ht="14.25" customHeight="1" x14ac:dyDescent="0.2">
      <c r="A133" s="29" t="str">
        <f t="shared" si="42"/>
        <v>[f80d2657]|PePe|JP Trend|30m</v>
      </c>
      <c r="B133" s="29" t="s">
        <v>28</v>
      </c>
      <c r="C133" s="27">
        <f t="shared" si="47"/>
        <v>0.24</v>
      </c>
      <c r="D133" s="29" t="s">
        <v>39</v>
      </c>
      <c r="E133" s="29" t="s">
        <v>40</v>
      </c>
      <c r="F133" s="29" t="s">
        <v>41</v>
      </c>
      <c r="G133" s="97" t="s">
        <v>38</v>
      </c>
      <c r="H133" s="30">
        <v>12000</v>
      </c>
      <c r="I133" s="30">
        <f t="shared" si="48"/>
        <v>2520</v>
      </c>
      <c r="J133" s="30">
        <v>2650</v>
      </c>
      <c r="K133" s="29">
        <v>100</v>
      </c>
      <c r="L133" s="72">
        <f t="array" ref="L133">IFERROR(INDEX('Strategy Watchlist'!L:L,MATCH($A133,'Strategy Watchlist'!$A:$A,0)),"Not Found")</f>
        <v>11.341645885286782</v>
      </c>
      <c r="M133" s="73">
        <f t="array" ref="M133">IFERROR(INDEX('Strategy Watchlist'!M:M,MATCH($A133,'Strategy Watchlist'!$A:$A,0)),"Not Found")</f>
        <v>302</v>
      </c>
      <c r="N133" s="74">
        <f t="array" ref="N133">IFERROR(INDEX('Strategy Watchlist'!N:N,MATCH($A133,'Strategy Watchlist'!$A:$A,0)),"Not Found")</f>
        <v>45662</v>
      </c>
      <c r="O133" s="28">
        <f t="array" ref="O133">IFERROR(INDEX('Strategy Watchlist'!P:P,MATCH($A133,'Strategy Watchlist'!$A:$A,0)),"Not Found")</f>
        <v>3.05</v>
      </c>
      <c r="P133" s="28">
        <f t="array" ref="P133">IFERROR(INDEX('Strategy Watchlist'!Q:Q,MATCH($A133,'Strategy Watchlist'!$A:$A,0)),"Not Found")</f>
        <v>1.52</v>
      </c>
      <c r="Q133" s="28">
        <f t="array" ref="Q133">IFERROR(INDEX('Strategy Watchlist'!R:R,MATCH($A133,'Strategy Watchlist'!$A:$A,0)),"Not Found")</f>
        <v>-3.15</v>
      </c>
      <c r="R133" s="28">
        <f t="array" ref="R133">IFERROR(INDEX('Strategy Watchlist'!S:S,MATCH($A133,'Strategy Watchlist'!$A:$A,0)),"Not Found")</f>
        <v>2.2999999999999998</v>
      </c>
      <c r="S133" s="28">
        <f t="array" ref="S133">IFERROR(INDEX('Strategy Watchlist'!T:T,MATCH($A133,'Strategy Watchlist'!$A:$A,0)),"Not Found")</f>
        <v>-0.12</v>
      </c>
      <c r="T133" s="28">
        <f t="array" ref="T133">IFERROR(INDEX('Strategy Watchlist'!U:U,MATCH($A133,'Strategy Watchlist'!$A:$A,0)),"Not Found")</f>
        <v>5.69</v>
      </c>
      <c r="U133" s="28">
        <f t="array" ref="U133">IFERROR(INDEX('Strategy Watchlist'!V:V,MATCH($A133,'Strategy Watchlist'!$A:$A,0)),"Not Found")</f>
        <v>-1.33</v>
      </c>
      <c r="V133" s="28">
        <f t="array" ref="V133">IFERROR(INDEX('Strategy Watchlist'!W:W,MATCH($A133,'Strategy Watchlist'!$A:$A,0)),"Not Found")</f>
        <v>2.12</v>
      </c>
      <c r="W133" s="28">
        <f t="array" ref="W133">IFERROR(INDEX('Strategy Watchlist'!X:X,MATCH($A133,'Strategy Watchlist'!$A:$A,0)),"Not Found")</f>
        <v>3.07</v>
      </c>
      <c r="X133" s="28">
        <f t="array" ref="X133">IFERROR(INDEX('Strategy Watchlist'!Y:Y,MATCH($A133,'Strategy Watchlist'!$A:$A,0)),"Not Found")</f>
        <v>3.75</v>
      </c>
      <c r="Y133" s="34" t="str">
        <f t="array" ref="Y133">IFERROR(INDEX('Strategy Watchlist'!Z:Z,MATCH($A133,'Strategy Watchlist'!$A:$A,0)),"Not Found")</f>
        <v>https://www.tradingview.com/chart/uNPZ2spK/</v>
      </c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</row>
    <row r="134" spans="1:119" ht="14.25" customHeight="1" x14ac:dyDescent="0.2">
      <c r="A134" s="17" t="str">
        <f t="shared" si="42"/>
        <v>[0c4624b7]|SOL|volVangard|30m</v>
      </c>
      <c r="B134" s="17" t="s">
        <v>28</v>
      </c>
      <c r="C134" s="43">
        <f t="shared" si="47"/>
        <v>0.3</v>
      </c>
      <c r="D134" s="17" t="s">
        <v>42</v>
      </c>
      <c r="E134" s="17" t="s">
        <v>43</v>
      </c>
      <c r="F134" s="17" t="s">
        <v>44</v>
      </c>
      <c r="G134" s="17" t="s">
        <v>38</v>
      </c>
      <c r="H134" s="24">
        <v>15000</v>
      </c>
      <c r="I134" s="24">
        <f t="shared" si="48"/>
        <v>3150</v>
      </c>
      <c r="J134" s="24">
        <v>2500</v>
      </c>
      <c r="K134" s="17">
        <v>200</v>
      </c>
      <c r="L134" s="19">
        <f t="array" ref="L134">IFERROR(INDEX('Strategy Watchlist'!L:L,MATCH($A134,'Strategy Watchlist'!$A:$A,0)),"Not Found")</f>
        <v>9.533219761499149</v>
      </c>
      <c r="M134" s="12">
        <f t="array" ref="M134">IFERROR(INDEX('Strategy Watchlist'!M:M,MATCH($A134,'Strategy Watchlist'!$A:$A,0)),"Not Found")</f>
        <v>118</v>
      </c>
      <c r="N134" s="20">
        <f t="array" ref="N134">IFERROR(INDEX('Strategy Watchlist'!N:N,MATCH($A134,'Strategy Watchlist'!$A:$A,0)),"Not Found")</f>
        <v>45772</v>
      </c>
      <c r="O134" s="21">
        <f t="array" ref="O134">IFERROR(INDEX('Strategy Watchlist'!P:P,MATCH($A134,'Strategy Watchlist'!$A:$A,0)),"Not Found")</f>
        <v>-0.99</v>
      </c>
      <c r="P134" s="21">
        <f t="array" ref="P134">IFERROR(INDEX('Strategy Watchlist'!Q:Q,MATCH($A134,'Strategy Watchlist'!$A:$A,0)),"Not Found")</f>
        <v>4.09</v>
      </c>
      <c r="Q134" s="21">
        <f t="array" ref="Q134">IFERROR(INDEX('Strategy Watchlist'!R:R,MATCH($A134,'Strategy Watchlist'!$A:$A,0)),"Not Found")</f>
        <v>0.37</v>
      </c>
      <c r="R134" s="21">
        <f t="array" ref="R134">IFERROR(INDEX('Strategy Watchlist'!S:S,MATCH($A134,'Strategy Watchlist'!$A:$A,0)),"Not Found")</f>
        <v>-3.58</v>
      </c>
      <c r="S134" s="21">
        <f t="array" ref="S134">IFERROR(INDEX('Strategy Watchlist'!T:T,MATCH($A134,'Strategy Watchlist'!$A:$A,0)),"Not Found")</f>
        <v>6.51</v>
      </c>
      <c r="T134" s="21">
        <f t="array" ref="T134">IFERROR(INDEX('Strategy Watchlist'!U:U,MATCH($A134,'Strategy Watchlist'!$A:$A,0)),"Not Found")</f>
        <v>-0.43</v>
      </c>
      <c r="U134" s="21">
        <f t="array" ref="U134">IFERROR(INDEX('Strategy Watchlist'!V:V,MATCH($A134,'Strategy Watchlist'!$A:$A,0)),"Not Found")</f>
        <v>5.78</v>
      </c>
      <c r="V134" s="21">
        <f t="array" ref="V134">IFERROR(INDEX('Strategy Watchlist'!W:W,MATCH($A134,'Strategy Watchlist'!$A:$A,0)),"Not Found")</f>
        <v>-0.64</v>
      </c>
      <c r="W134" s="21">
        <f t="array" ref="W134">IFERROR(INDEX('Strategy Watchlist'!X:X,MATCH($A134,'Strategy Watchlist'!$A:$A,0)),"Not Found")</f>
        <v>1.32</v>
      </c>
      <c r="X134" s="21">
        <f t="array" ref="X134">IFERROR(INDEX('Strategy Watchlist'!Y:Y,MATCH($A134,'Strategy Watchlist'!$A:$A,0)),"Not Found")</f>
        <v>0.33</v>
      </c>
      <c r="Y134" s="22" t="str">
        <f t="array" ref="Y134">IFERROR(INDEX('Strategy Watchlist'!Z:Z,MATCH($A134,'Strategy Watchlist'!$A:$A,0)),"Not Found")</f>
        <v>https://www.tradingview.com/chart/tJDJVri5/</v>
      </c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</row>
    <row r="135" spans="1:119" ht="14.25" customHeight="1" x14ac:dyDescent="0.2">
      <c r="A135" s="29" t="str">
        <f t="shared" si="42"/>
        <v>[a9aeb4cc]|ETH|McGinley|90m</v>
      </c>
      <c r="B135" s="29" t="s">
        <v>28</v>
      </c>
      <c r="C135" s="27">
        <f t="shared" si="47"/>
        <v>0.48</v>
      </c>
      <c r="D135" s="29" t="s">
        <v>45</v>
      </c>
      <c r="E135" s="29" t="s">
        <v>46</v>
      </c>
      <c r="F135" s="29" t="s">
        <v>47</v>
      </c>
      <c r="G135" s="29" t="s">
        <v>48</v>
      </c>
      <c r="H135" s="30">
        <v>24000</v>
      </c>
      <c r="I135" s="30">
        <f t="shared" si="48"/>
        <v>5040</v>
      </c>
      <c r="J135" s="30">
        <v>5200</v>
      </c>
      <c r="K135" s="29">
        <v>190</v>
      </c>
      <c r="L135" s="72">
        <f t="array" ref="L135">IFERROR(INDEX('Strategy Watchlist'!L:L,MATCH($A135,'Strategy Watchlist'!$A:$A,0)),"Not Found")</f>
        <v>7.4173228346456694</v>
      </c>
      <c r="M135" s="73">
        <f t="array" ref="M135">IFERROR(INDEX('Strategy Watchlist'!M:M,MATCH($A135,'Strategy Watchlist'!$A:$A,0)),"Not Found")</f>
        <v>72</v>
      </c>
      <c r="N135" s="74">
        <f t="array" ref="N135">IFERROR(INDEX('Strategy Watchlist'!N:N,MATCH($A135,'Strategy Watchlist'!$A:$A,0)),"Not Found")</f>
        <v>45772</v>
      </c>
      <c r="O135" s="28">
        <f t="array" ref="O135">IFERROR(INDEX('Strategy Watchlist'!P:P,MATCH($A135,'Strategy Watchlist'!$A:$A,0)),"Not Found")</f>
        <v>-0.43</v>
      </c>
      <c r="P135" s="28">
        <f t="array" ref="P135">IFERROR(INDEX('Strategy Watchlist'!Q:Q,MATCH($A135,'Strategy Watchlist'!$A:$A,0)),"Not Found")</f>
        <v>-0.39</v>
      </c>
      <c r="Q135" s="28">
        <f t="array" ref="Q135">IFERROR(INDEX('Strategy Watchlist'!R:R,MATCH($A135,'Strategy Watchlist'!$A:$A,0)),"Not Found")</f>
        <v>2.4500000000000002</v>
      </c>
      <c r="R135" s="28">
        <f t="array" ref="R135">IFERROR(INDEX('Strategy Watchlist'!S:S,MATCH($A135,'Strategy Watchlist'!$A:$A,0)),"Not Found")</f>
        <v>-0.24</v>
      </c>
      <c r="S135" s="28">
        <f t="array" ref="S135">IFERROR(INDEX('Strategy Watchlist'!T:T,MATCH($A135,'Strategy Watchlist'!$A:$A,0)),"Not Found")</f>
        <v>0.53</v>
      </c>
      <c r="T135" s="28">
        <f t="array" ref="T135">IFERROR(INDEX('Strategy Watchlist'!U:U,MATCH($A135,'Strategy Watchlist'!$A:$A,0)),"Not Found")</f>
        <v>2.38</v>
      </c>
      <c r="U135" s="28">
        <f t="array" ref="U135">IFERROR(INDEX('Strategy Watchlist'!V:V,MATCH($A135,'Strategy Watchlist'!$A:$A,0)),"Not Found")</f>
        <v>0.94</v>
      </c>
      <c r="V135" s="28">
        <f t="array" ref="V135">IFERROR(INDEX('Strategy Watchlist'!W:W,MATCH($A135,'Strategy Watchlist'!$A:$A,0)),"Not Found")</f>
        <v>0</v>
      </c>
      <c r="W135" s="28">
        <f t="array" ref="W135">IFERROR(INDEX('Strategy Watchlist'!X:X,MATCH($A135,'Strategy Watchlist'!$A:$A,0)),"Not Found")</f>
        <v>2.77</v>
      </c>
      <c r="X135" s="28">
        <f t="array" ref="X135">IFERROR(INDEX('Strategy Watchlist'!Y:Y,MATCH($A135,'Strategy Watchlist'!$A:$A,0)),"Not Found")</f>
        <v>-0.13</v>
      </c>
      <c r="Y135" s="34" t="str">
        <f t="array" ref="Y135">IFERROR(INDEX('Strategy Watchlist'!Z:Z,MATCH($A135,'Strategy Watchlist'!$A:$A,0)),"Not Found")</f>
        <v>https://www.tradingview.com/chart/dPRT8fSK/</v>
      </c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</row>
    <row r="136" spans="1:119" ht="14.25" customHeight="1" x14ac:dyDescent="0.2">
      <c r="A136" s="17" t="str">
        <f t="shared" si="42"/>
        <v>17.12.2024|ARB|Heiken-Ashi|45m</v>
      </c>
      <c r="B136" s="1" t="s">
        <v>28</v>
      </c>
      <c r="C136" s="43">
        <f t="shared" si="47"/>
        <v>0.24</v>
      </c>
      <c r="D136" s="58" t="s">
        <v>81</v>
      </c>
      <c r="E136" s="1" t="s">
        <v>30</v>
      </c>
      <c r="F136" s="1" t="s">
        <v>37</v>
      </c>
      <c r="G136" s="1" t="s">
        <v>32</v>
      </c>
      <c r="H136" s="1">
        <v>12000</v>
      </c>
      <c r="I136" s="2">
        <f t="shared" si="48"/>
        <v>2520</v>
      </c>
      <c r="J136" s="2">
        <v>2520</v>
      </c>
      <c r="K136" s="1">
        <v>100</v>
      </c>
      <c r="L136" s="19">
        <f t="array" ref="L136">IFERROR(INDEX('Strategy Watchlist'!L:L,MATCH($A136,'Strategy Watchlist'!$A:$A,0)),"Not Found")</f>
        <v>12.102857142857143</v>
      </c>
      <c r="M136" s="12">
        <f t="array" ref="M136">IFERROR(INDEX('Strategy Watchlist'!M:M,MATCH($A136,'Strategy Watchlist'!$A:$A,0)),"Not Found")</f>
        <v>294</v>
      </c>
      <c r="N136" s="20">
        <f t="array" ref="N136">IFERROR(INDEX('Strategy Watchlist'!N:N,MATCH($A136,'Strategy Watchlist'!$A:$A,0)),"Not Found")</f>
        <v>45772</v>
      </c>
      <c r="O136" s="21">
        <f t="array" ref="O136">IFERROR(INDEX('Strategy Watchlist'!P:P,MATCH($A136,'Strategy Watchlist'!$A:$A,0)),"Not Found")</f>
        <v>-0.88</v>
      </c>
      <c r="P136" s="21">
        <f t="array" ref="P136">IFERROR(INDEX('Strategy Watchlist'!Q:Q,MATCH($A136,'Strategy Watchlist'!$A:$A,0)),"Not Found")</f>
        <v>0.46</v>
      </c>
      <c r="Q136" s="21">
        <f t="array" ref="Q136">IFERROR(INDEX('Strategy Watchlist'!R:R,MATCH($A136,'Strategy Watchlist'!$A:$A,0)),"Not Found")</f>
        <v>-0.54</v>
      </c>
      <c r="R136" s="21">
        <f t="array" ref="R136">IFERROR(INDEX('Strategy Watchlist'!S:S,MATCH($A136,'Strategy Watchlist'!$A:$A,0)),"Not Found")</f>
        <v>4.43</v>
      </c>
      <c r="S136" s="21">
        <f t="array" ref="S136">IFERROR(INDEX('Strategy Watchlist'!T:T,MATCH($A136,'Strategy Watchlist'!$A:$A,0)),"Not Found")</f>
        <v>-0.26</v>
      </c>
      <c r="T136" s="21">
        <f t="array" ref="T136">IFERROR(INDEX('Strategy Watchlist'!U:U,MATCH($A136,'Strategy Watchlist'!$A:$A,0)),"Not Found")</f>
        <v>0.04</v>
      </c>
      <c r="U136" s="21">
        <f t="array" ref="U136">IFERROR(INDEX('Strategy Watchlist'!V:V,MATCH($A136,'Strategy Watchlist'!$A:$A,0)),"Not Found")</f>
        <v>1.27</v>
      </c>
      <c r="V136" s="21">
        <f t="array" ref="V136">IFERROR(INDEX('Strategy Watchlist'!W:W,MATCH($A136,'Strategy Watchlist'!$A:$A,0)),"Not Found")</f>
        <v>3.69</v>
      </c>
      <c r="W136" s="21">
        <f t="array" ref="W136">IFERROR(INDEX('Strategy Watchlist'!X:X,MATCH($A136,'Strategy Watchlist'!$A:$A,0)),"Not Found")</f>
        <v>-0.27</v>
      </c>
      <c r="X136" s="21">
        <f t="array" ref="X136">IFERROR(INDEX('Strategy Watchlist'!Y:Y,MATCH($A136,'Strategy Watchlist'!$A:$A,0)),"Not Found")</f>
        <v>3.17</v>
      </c>
      <c r="Y136" s="22" t="str">
        <f t="array" ref="Y136">IFERROR(INDEX('Strategy Watchlist'!Z:Z,MATCH($A136,'Strategy Watchlist'!$A:$A,0)),"Not Found")</f>
        <v>https://www.tradingview.com/chart/9cT1VRvW/</v>
      </c>
      <c r="Z136" s="58"/>
      <c r="AA136" s="58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</row>
    <row r="137" spans="1:119" ht="14.25" customHeight="1" x14ac:dyDescent="0.2">
      <c r="A137" s="17" t="str">
        <f t="shared" si="42"/>
        <v>[da58bf67]|NEAR|Trendhoo|30m</v>
      </c>
      <c r="B137" s="42" t="s">
        <v>28</v>
      </c>
      <c r="C137" s="43">
        <f t="shared" si="47"/>
        <v>0.24</v>
      </c>
      <c r="D137" s="21" t="s">
        <v>87</v>
      </c>
      <c r="E137" s="42" t="s">
        <v>57</v>
      </c>
      <c r="F137" s="17" t="s">
        <v>67</v>
      </c>
      <c r="G137" s="42" t="s">
        <v>38</v>
      </c>
      <c r="H137" s="17">
        <v>12000</v>
      </c>
      <c r="I137" s="24">
        <f t="shared" si="48"/>
        <v>2520</v>
      </c>
      <c r="J137" s="24">
        <v>220</v>
      </c>
      <c r="K137" s="24">
        <v>120</v>
      </c>
      <c r="L137" s="19">
        <f t="array" ref="L137">IFERROR(INDEX('Strategy Watchlist'!L:L,MATCH($A137,'Strategy Watchlist'!$A:$A,0)),"Not Found")</f>
        <v>5.9785234899328854</v>
      </c>
      <c r="M137" s="12">
        <f t="array" ref="M137">IFERROR(INDEX('Strategy Watchlist'!M:M,MATCH($A137,'Strategy Watchlist'!$A:$A,0)),"Not Found")</f>
        <v>188</v>
      </c>
      <c r="N137" s="20">
        <f t="array" ref="N137">IFERROR(INDEX('Strategy Watchlist'!N:N,MATCH($A137,'Strategy Watchlist'!$A:$A,0)),"Not Found")</f>
        <v>45802</v>
      </c>
      <c r="O137" s="21">
        <f t="array" ref="O137">IFERROR(INDEX('Strategy Watchlist'!P:P,MATCH($A137,'Strategy Watchlist'!$A:$A,0)),"Not Found")</f>
        <v>0.27</v>
      </c>
      <c r="P137" s="21">
        <f t="array" ref="P137">IFERROR(INDEX('Strategy Watchlist'!Q:Q,MATCH($A137,'Strategy Watchlist'!$A:$A,0)),"Not Found")</f>
        <v>0</v>
      </c>
      <c r="Q137" s="21">
        <f t="array" ref="Q137">IFERROR(INDEX('Strategy Watchlist'!R:R,MATCH($A137,'Strategy Watchlist'!$A:$A,0)),"Not Found")</f>
        <v>4.76</v>
      </c>
      <c r="R137" s="21">
        <f t="array" ref="R137">IFERROR(INDEX('Strategy Watchlist'!S:S,MATCH($A137,'Strategy Watchlist'!$A:$A,0)),"Not Found")</f>
        <v>1.93</v>
      </c>
      <c r="S137" s="21">
        <f t="array" ref="S137">IFERROR(INDEX('Strategy Watchlist'!T:T,MATCH($A137,'Strategy Watchlist'!$A:$A,0)),"Not Found")</f>
        <v>1.34</v>
      </c>
      <c r="T137" s="21">
        <f t="array" ref="T137">IFERROR(INDEX('Strategy Watchlist'!U:U,MATCH($A137,'Strategy Watchlist'!$A:$A,0)),"Not Found")</f>
        <v>2.2999999999999998</v>
      </c>
      <c r="U137" s="21">
        <f t="array" ref="U137">IFERROR(INDEX('Strategy Watchlist'!V:V,MATCH($A137,'Strategy Watchlist'!$A:$A,0)),"Not Found")</f>
        <v>0.08</v>
      </c>
      <c r="V137" s="21">
        <f t="array" ref="V137">IFERROR(INDEX('Strategy Watchlist'!W:W,MATCH($A137,'Strategy Watchlist'!$A:$A,0)),"Not Found")</f>
        <v>1.26</v>
      </c>
      <c r="W137" s="21">
        <f t="array" ref="W137">IFERROR(INDEX('Strategy Watchlist'!X:X,MATCH($A137,'Strategy Watchlist'!$A:$A,0)),"Not Found")</f>
        <v>1.01</v>
      </c>
      <c r="X137" s="21">
        <f t="array" ref="X137">IFERROR(INDEX('Strategy Watchlist'!Y:Y,MATCH($A137,'Strategy Watchlist'!$A:$A,0)),"Not Found")</f>
        <v>5.82</v>
      </c>
      <c r="Y137" s="22" t="str">
        <f t="array" ref="Y137">IFERROR(INDEX('Strategy Watchlist'!Z:Z,MATCH($A137,'Strategy Watchlist'!$A:$A,0)),"Not Found")</f>
        <v>https://www.tradingview.com/chart/CsNPJ40O/</v>
      </c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 t="s">
        <v>62</v>
      </c>
      <c r="AV137" s="42"/>
      <c r="AW137" s="42" t="s">
        <v>57</v>
      </c>
      <c r="AX137" s="17" t="s">
        <v>67</v>
      </c>
      <c r="AY137" s="19">
        <f>44.54/7.45</f>
        <v>5.9785234899328854</v>
      </c>
      <c r="AZ137" s="46">
        <v>188</v>
      </c>
      <c r="BA137" s="42" t="s">
        <v>38</v>
      </c>
      <c r="BB137" s="81">
        <v>45802</v>
      </c>
      <c r="BC137" s="21">
        <v>-0.16</v>
      </c>
      <c r="BD137" s="21">
        <v>4.76</v>
      </c>
      <c r="BE137" s="21">
        <v>1.93</v>
      </c>
      <c r="BF137" s="21">
        <v>1.34</v>
      </c>
      <c r="BG137" s="21">
        <v>2.2999999999999998</v>
      </c>
      <c r="BH137" s="21">
        <v>0.08</v>
      </c>
      <c r="BI137" s="21">
        <v>1.26</v>
      </c>
      <c r="BJ137" s="21">
        <v>1.01</v>
      </c>
      <c r="BK137" s="21">
        <v>5.82</v>
      </c>
      <c r="BL137" s="21" t="s">
        <v>87</v>
      </c>
      <c r="BM137" s="47" t="s">
        <v>88</v>
      </c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</row>
    <row r="138" spans="1:119" x14ac:dyDescent="0.2">
      <c r="A138" s="17" t="str">
        <f t="shared" si="42"/>
        <v>[4a2ddf14]|AAVE|McGlinley|45m</v>
      </c>
      <c r="B138" s="78" t="s">
        <v>28</v>
      </c>
      <c r="C138" s="43">
        <f t="shared" si="47"/>
        <v>0.3</v>
      </c>
      <c r="D138" s="42" t="s">
        <v>89</v>
      </c>
      <c r="E138" s="42" t="s">
        <v>90</v>
      </c>
      <c r="F138" s="42" t="s">
        <v>91</v>
      </c>
      <c r="G138" s="42" t="s">
        <v>32</v>
      </c>
      <c r="H138" s="1">
        <v>15000</v>
      </c>
      <c r="I138" s="2">
        <f t="shared" si="48"/>
        <v>3150</v>
      </c>
      <c r="J138" s="2">
        <f t="shared" ref="J138:J139" si="49">I138</f>
        <v>3150</v>
      </c>
      <c r="K138" s="1">
        <v>150</v>
      </c>
      <c r="L138" s="19">
        <f t="array" ref="L138">IFERROR(INDEX('Strategy Watchlist'!L:L,MATCH($A138,'Strategy Watchlist'!$A:$A,0)),"Not Found")</f>
        <v>2.6694915254237288</v>
      </c>
      <c r="M138" s="12">
        <f t="array" ref="M138">IFERROR(INDEX('Strategy Watchlist'!M:M,MATCH($A138,'Strategy Watchlist'!$A:$A,0)),"Not Found")</f>
        <v>317</v>
      </c>
      <c r="N138" s="20">
        <f t="array" ref="N138">IFERROR(INDEX('Strategy Watchlist'!N:N,MATCH($A138,'Strategy Watchlist'!$A:$A,0)),"Not Found")</f>
        <v>45682</v>
      </c>
      <c r="O138" s="19">
        <f t="array" ref="O138">IFERROR(INDEX('Strategy Watchlist'!P:P,MATCH($A138,'Strategy Watchlist'!$A:$A,0)),"Not Found")</f>
        <v>2.66</v>
      </c>
      <c r="P138" s="19">
        <f t="array" ref="P138">IFERROR(INDEX('Strategy Watchlist'!Q:Q,MATCH($A138,'Strategy Watchlist'!$A:$A,0)),"Not Found")</f>
        <v>-0.85</v>
      </c>
      <c r="Q138" s="19">
        <f t="array" ref="Q138">IFERROR(INDEX('Strategy Watchlist'!R:R,MATCH($A138,'Strategy Watchlist'!$A:$A,0)),"Not Found")</f>
        <v>3.55</v>
      </c>
      <c r="R138" s="19">
        <f t="array" ref="R138">IFERROR(INDEX('Strategy Watchlist'!S:S,MATCH($A138,'Strategy Watchlist'!$A:$A,0)),"Not Found")</f>
        <v>1.77</v>
      </c>
      <c r="S138" s="19">
        <f t="array" ref="S138">IFERROR(INDEX('Strategy Watchlist'!T:T,MATCH($A138,'Strategy Watchlist'!$A:$A,0)),"Not Found")</f>
        <v>1.63</v>
      </c>
      <c r="T138" s="19">
        <f t="array" ref="T138">IFERROR(INDEX('Strategy Watchlist'!U:U,MATCH($A138,'Strategy Watchlist'!$A:$A,0)),"Not Found")</f>
        <v>-1.84</v>
      </c>
      <c r="U138" s="19">
        <f t="array" ref="U138">IFERROR(INDEX('Strategy Watchlist'!V:V,MATCH($A138,'Strategy Watchlist'!$A:$A,0)),"Not Found")</f>
        <v>0.2</v>
      </c>
      <c r="V138" s="19">
        <f t="array" ref="V138">IFERROR(INDEX('Strategy Watchlist'!W:W,MATCH($A138,'Strategy Watchlist'!$A:$A,0)),"Not Found")</f>
        <v>-1.49</v>
      </c>
      <c r="W138" s="19">
        <f t="array" ref="W138">IFERROR(INDEX('Strategy Watchlist'!X:X,MATCH($A138,'Strategy Watchlist'!$A:$A,0)),"Not Found")</f>
        <v>0</v>
      </c>
      <c r="X138" s="19">
        <f t="array" ref="X138">IFERROR(INDEX('Strategy Watchlist'!Y:Y,MATCH($A138,'Strategy Watchlist'!$A:$A,0)),"Not Found")</f>
        <v>0.28000000000000003</v>
      </c>
      <c r="Y138" s="22" t="str">
        <f t="array" ref="Y138">IFERROR(INDEX('Strategy Watchlist'!Z:Z,MATCH($A138,'Strategy Watchlist'!$A:$A,0)),"Not Found")</f>
        <v>https://www.tradingview.com/chart/Xt8Libni/</v>
      </c>
    </row>
    <row r="139" spans="1:119" ht="14.25" customHeight="1" x14ac:dyDescent="0.2">
      <c r="A139" s="39" t="str">
        <f t="shared" si="42"/>
        <v>[f2b236fa]|OP|glitchTrend|1H</v>
      </c>
      <c r="B139" s="42" t="s">
        <v>28</v>
      </c>
      <c r="C139" s="43">
        <f t="shared" si="47"/>
        <v>0.3</v>
      </c>
      <c r="D139" s="21" t="s">
        <v>59</v>
      </c>
      <c r="E139" s="42" t="s">
        <v>60</v>
      </c>
      <c r="F139" s="42" t="s">
        <v>61</v>
      </c>
      <c r="G139" s="42" t="s">
        <v>52</v>
      </c>
      <c r="H139" s="1">
        <v>15000</v>
      </c>
      <c r="I139" s="2">
        <f t="shared" si="48"/>
        <v>3150</v>
      </c>
      <c r="J139" s="24">
        <f t="shared" si="49"/>
        <v>3150</v>
      </c>
      <c r="K139" s="1">
        <v>150</v>
      </c>
      <c r="L139" s="103">
        <f>57.27/6.84</f>
        <v>8.3728070175438596</v>
      </c>
      <c r="M139" s="44">
        <v>409</v>
      </c>
      <c r="N139" s="81">
        <v>45863</v>
      </c>
      <c r="O139" s="19">
        <f t="array" ref="O139">IFERROR(INDEX('Strategy Watchlist'!P:P,MATCH($A139,'Strategy Watchlist'!$A:$A,0)),"Not Found")</f>
        <v>2.64</v>
      </c>
      <c r="P139" s="21">
        <v>0.13</v>
      </c>
      <c r="Q139" s="21">
        <v>1.69</v>
      </c>
      <c r="R139" s="21">
        <v>6.07</v>
      </c>
      <c r="S139" s="21">
        <v>-3.19</v>
      </c>
      <c r="T139" s="21">
        <v>5.27</v>
      </c>
      <c r="U139" s="21">
        <v>3.43</v>
      </c>
      <c r="V139" s="21">
        <v>2.02</v>
      </c>
      <c r="W139" s="21">
        <v>0.08</v>
      </c>
      <c r="X139" s="21">
        <v>7.85</v>
      </c>
      <c r="Y139" s="47" t="s">
        <v>63</v>
      </c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39" t="str">
        <f>AX139&amp;"|"&amp;AY139&amp;"|"&amp;AZ139&amp;"|"&amp;BA139</f>
        <v>[f2b236fa]|OP|glitchTrend|1H</v>
      </c>
      <c r="AV139" s="42" t="s">
        <v>62</v>
      </c>
      <c r="AW139" s="17"/>
      <c r="AX139" s="21" t="s">
        <v>59</v>
      </c>
      <c r="AY139" s="42" t="s">
        <v>60</v>
      </c>
      <c r="AZ139" s="42" t="s">
        <v>61</v>
      </c>
      <c r="BA139" s="42" t="s">
        <v>52</v>
      </c>
      <c r="BB139" s="103"/>
      <c r="BC139" s="103"/>
      <c r="BD139" s="103"/>
      <c r="BE139" s="103"/>
      <c r="BF139" s="103">
        <f>57.27/6.84</f>
        <v>8.3728070175438596</v>
      </c>
      <c r="BG139" s="44">
        <v>409</v>
      </c>
      <c r="BH139" s="81">
        <v>45863</v>
      </c>
      <c r="BI139" s="21">
        <v>0.5</v>
      </c>
      <c r="BJ139" s="21">
        <v>0.13</v>
      </c>
      <c r="BK139" s="21">
        <v>1.69</v>
      </c>
      <c r="BL139" s="21">
        <v>6.07</v>
      </c>
      <c r="BM139" s="21">
        <v>-3.19</v>
      </c>
      <c r="BN139" s="21">
        <v>5.27</v>
      </c>
      <c r="BO139" s="21">
        <v>3.43</v>
      </c>
      <c r="BP139" s="21">
        <v>2.02</v>
      </c>
      <c r="BQ139" s="21">
        <v>0.08</v>
      </c>
      <c r="BR139" s="21">
        <v>7.85</v>
      </c>
      <c r="BS139" s="47" t="s">
        <v>63</v>
      </c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</row>
    <row r="140" spans="1:119" ht="14.25" customHeight="1" x14ac:dyDescent="0.2">
      <c r="A140" s="86" t="str">
        <f t="shared" si="42"/>
        <v>|50000||</v>
      </c>
      <c r="B140" s="86" t="s">
        <v>120</v>
      </c>
      <c r="C140" s="86"/>
      <c r="D140" s="86"/>
      <c r="E140" s="86">
        <v>50000</v>
      </c>
      <c r="F140" s="86"/>
      <c r="G140" s="86"/>
      <c r="H140" s="86"/>
      <c r="I140" s="86"/>
      <c r="J140" s="86"/>
      <c r="K140" s="86"/>
      <c r="L140" s="86"/>
      <c r="M140" s="86"/>
      <c r="N140" s="20"/>
      <c r="O140" s="19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</row>
    <row r="141" spans="1:119" ht="14.25" customHeight="1" x14ac:dyDescent="0.2">
      <c r="A141" s="39" t="str">
        <f t="shared" si="42"/>
        <v>[1adc9501]|ETH|DeadZone|1H</v>
      </c>
      <c r="B141" s="42" t="s">
        <v>28</v>
      </c>
      <c r="C141" s="62">
        <f t="shared" ref="C141:C142" si="50">H141/$E$140</f>
        <v>0.3</v>
      </c>
      <c r="D141" s="42" t="s">
        <v>69</v>
      </c>
      <c r="E141" s="42" t="s">
        <v>46</v>
      </c>
      <c r="F141" s="42" t="s">
        <v>70</v>
      </c>
      <c r="G141" s="42" t="s">
        <v>52</v>
      </c>
      <c r="H141" s="2">
        <v>15000</v>
      </c>
      <c r="I141" s="2">
        <f t="shared" ref="I141:I142" si="51">H141*0.21</f>
        <v>3150</v>
      </c>
      <c r="J141" s="24">
        <f t="shared" ref="J141:J142" si="52">I141</f>
        <v>3150</v>
      </c>
      <c r="K141" s="1">
        <v>130</v>
      </c>
      <c r="L141" s="19">
        <f>33.14/3.94</f>
        <v>8.4111675126903549</v>
      </c>
      <c r="M141" s="12">
        <v>134</v>
      </c>
      <c r="N141" s="45">
        <v>45802</v>
      </c>
      <c r="O141" s="19">
        <f t="array" ref="O141">IFERROR(INDEX('Strategy Watchlist'!P:P,MATCH($A141,'Strategy Watchlist'!$A:$A,0)),"Not Found")</f>
        <v>0.51</v>
      </c>
      <c r="P141" s="21">
        <f t="array" ref="P141">IFERROR(INDEX('Strategy Watchlist'!Q:Q,MATCH($A141,'Strategy Watchlist'!$A:$A,0)),"Not Found")</f>
        <v>0.63</v>
      </c>
      <c r="Q141" s="21">
        <f t="array" ref="Q141">IFERROR(INDEX('Strategy Watchlist'!R:R,MATCH($A141,'Strategy Watchlist'!$A:$A,0)),"Not Found")</f>
        <v>4.53</v>
      </c>
      <c r="R141" s="21">
        <f t="array" ref="R141">IFERROR(INDEX('Strategy Watchlist'!S:S,MATCH($A141,'Strategy Watchlist'!$A:$A,0)),"Not Found")</f>
        <v>3.6</v>
      </c>
      <c r="S141" s="21">
        <f t="array" ref="S141">IFERROR(INDEX('Strategy Watchlist'!T:T,MATCH($A141,'Strategy Watchlist'!$A:$A,0)),"Not Found")</f>
        <v>1.0900000000000001</v>
      </c>
      <c r="T141" s="21">
        <f t="array" ref="T141">IFERROR(INDEX('Strategy Watchlist'!U:U,MATCH($A141,'Strategy Watchlist'!$A:$A,0)),"Not Found")</f>
        <v>2.31</v>
      </c>
      <c r="U141" s="21">
        <f t="array" ref="U141">IFERROR(INDEX('Strategy Watchlist'!V:V,MATCH($A141,'Strategy Watchlist'!$A:$A,0)),"Not Found")</f>
        <v>0.49</v>
      </c>
      <c r="V141" s="21">
        <f t="array" ref="V141">IFERROR(INDEX('Strategy Watchlist'!W:W,MATCH($A141,'Strategy Watchlist'!$A:$A,0)),"Not Found")</f>
        <v>-1.63</v>
      </c>
      <c r="W141" s="21">
        <f t="array" ref="W141">IFERROR(INDEX('Strategy Watchlist'!X:X,MATCH($A141,'Strategy Watchlist'!$A:$A,0)),"Not Found")</f>
        <v>0.27</v>
      </c>
      <c r="X141" s="21">
        <f t="array" ref="X141">IFERROR(INDEX('Strategy Watchlist'!Y:Y,MATCH($A141,'Strategy Watchlist'!$A:$A,0)),"Not Found")</f>
        <v>2.35</v>
      </c>
      <c r="Y141" s="102" t="str">
        <f t="array" ref="Y141">IFERROR(INDEX('Strategy Watchlist'!Z:Z,MATCH($A141,'Strategy Watchlist'!$A:$A,0)),"Not Found")</f>
        <v>https://www.tradingview.com/chart/P8n5vn8V/</v>
      </c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39" t="str">
        <f t="shared" ref="AU141:AU142" si="53">AX141&amp;"|"&amp;AY141&amp;"|"&amp;AZ141&amp;"|"&amp;BA141</f>
        <v>[1adc9501]|ETH|DeadZone|1H</v>
      </c>
      <c r="AV141" s="42" t="s">
        <v>62</v>
      </c>
      <c r="AW141" s="17"/>
      <c r="AX141" s="42" t="s">
        <v>69</v>
      </c>
      <c r="AY141" s="42" t="s">
        <v>46</v>
      </c>
      <c r="AZ141" s="42" t="s">
        <v>70</v>
      </c>
      <c r="BA141" s="42" t="s">
        <v>52</v>
      </c>
      <c r="BB141" s="19"/>
      <c r="BC141" s="19"/>
      <c r="BD141" s="19"/>
      <c r="BE141" s="19"/>
      <c r="BF141" s="19">
        <f>33.14/3.94</f>
        <v>8.4111675126903549</v>
      </c>
      <c r="BG141" s="46">
        <v>134</v>
      </c>
      <c r="BH141" s="45">
        <v>45802</v>
      </c>
      <c r="BI141" s="21">
        <v>1.19</v>
      </c>
      <c r="BJ141" s="21">
        <v>0.63</v>
      </c>
      <c r="BK141" s="21">
        <v>4.53</v>
      </c>
      <c r="BL141" s="21">
        <v>3.6</v>
      </c>
      <c r="BM141" s="21">
        <v>1.0900000000000001</v>
      </c>
      <c r="BN141" s="21">
        <v>2.31</v>
      </c>
      <c r="BO141" s="21">
        <v>0.49</v>
      </c>
      <c r="BP141" s="21">
        <v>-1.63</v>
      </c>
      <c r="BQ141" s="21">
        <v>0.27</v>
      </c>
      <c r="BR141" s="21">
        <v>2.35</v>
      </c>
      <c r="BS141" s="47" t="s">
        <v>71</v>
      </c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</row>
    <row r="142" spans="1:119" ht="14.25" customHeight="1" x14ac:dyDescent="0.2">
      <c r="A142" s="39" t="str">
        <f t="shared" si="42"/>
        <v>[0436a8e8]|SOL|Trendhoo|90m</v>
      </c>
      <c r="B142" s="42" t="s">
        <v>28</v>
      </c>
      <c r="C142" s="62">
        <f t="shared" si="50"/>
        <v>0.4</v>
      </c>
      <c r="D142" s="17" t="s">
        <v>66</v>
      </c>
      <c r="E142" s="17" t="s">
        <v>43</v>
      </c>
      <c r="F142" s="17" t="s">
        <v>67</v>
      </c>
      <c r="G142" s="17" t="s">
        <v>48</v>
      </c>
      <c r="H142" s="2">
        <v>20000</v>
      </c>
      <c r="I142" s="2">
        <f t="shared" si="51"/>
        <v>4200</v>
      </c>
      <c r="J142" s="2">
        <f t="shared" si="52"/>
        <v>4200</v>
      </c>
      <c r="K142" s="1">
        <v>130</v>
      </c>
      <c r="L142" s="43">
        <f>20.84/4.13</f>
        <v>5.0460048426150124</v>
      </c>
      <c r="M142" s="12">
        <v>327</v>
      </c>
      <c r="N142" s="45">
        <v>45863</v>
      </c>
      <c r="O142" s="19">
        <f t="array" ref="O142">IFERROR(INDEX('Strategy Watchlist'!P:P,MATCH($A142,'Strategy Watchlist'!$A:$A,0)),"Not Found")</f>
        <v>-0.57999999999999996</v>
      </c>
      <c r="P142" s="21">
        <f t="array" ref="P142">IFERROR(INDEX('Strategy Watchlist'!Q:Q,MATCH($A142,'Strategy Watchlist'!$A:$A,0)),"Not Found")</f>
        <v>2.2999999999999998</v>
      </c>
      <c r="Q142" s="21">
        <f t="array" ref="Q142">IFERROR(INDEX('Strategy Watchlist'!R:R,MATCH($A142,'Strategy Watchlist'!$A:$A,0)),"Not Found")</f>
        <v>0.88</v>
      </c>
      <c r="R142" s="21">
        <f t="array" ref="R142">IFERROR(INDEX('Strategy Watchlist'!S:S,MATCH($A142,'Strategy Watchlist'!$A:$A,0)),"Not Found")</f>
        <v>0.88</v>
      </c>
      <c r="S142" s="21">
        <f t="array" ref="S142">IFERROR(INDEX('Strategy Watchlist'!T:T,MATCH($A142,'Strategy Watchlist'!$A:$A,0)),"Not Found")</f>
        <v>-0.19</v>
      </c>
      <c r="T142" s="21">
        <f t="array" ref="T142">IFERROR(INDEX('Strategy Watchlist'!U:U,MATCH($A142,'Strategy Watchlist'!$A:$A,0)),"Not Found")</f>
        <v>-0.1</v>
      </c>
      <c r="U142" s="21">
        <f t="array" ref="U142">IFERROR(INDEX('Strategy Watchlist'!V:V,MATCH($A142,'Strategy Watchlist'!$A:$A,0)),"Not Found")</f>
        <v>-0.52</v>
      </c>
      <c r="V142" s="21">
        <f t="array" ref="V142">IFERROR(INDEX('Strategy Watchlist'!W:W,MATCH($A142,'Strategy Watchlist'!$A:$A,0)),"Not Found")</f>
        <v>1.1100000000000001</v>
      </c>
      <c r="W142" s="21">
        <f t="array" ref="W142">IFERROR(INDEX('Strategy Watchlist'!X:X,MATCH($A142,'Strategy Watchlist'!$A:$A,0)),"Not Found")</f>
        <v>2.02</v>
      </c>
      <c r="X142" s="21">
        <f t="array" ref="X142">IFERROR(INDEX('Strategy Watchlist'!Y:Y,MATCH($A142,'Strategy Watchlist'!$A:$A,0)),"Not Found")</f>
        <v>2.73</v>
      </c>
      <c r="Y142" s="41" t="s">
        <v>68</v>
      </c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42"/>
      <c r="AN142" s="42"/>
      <c r="AO142" s="42"/>
      <c r="AP142" s="42"/>
      <c r="AQ142" s="42"/>
      <c r="AR142" s="42"/>
      <c r="AS142" s="42"/>
      <c r="AT142" s="42"/>
      <c r="AU142" s="39" t="str">
        <f t="shared" si="53"/>
        <v>[0436a8e8]|SOL|Trendhoo|90m</v>
      </c>
      <c r="AV142" s="17" t="s">
        <v>28</v>
      </c>
      <c r="AW142" s="17">
        <v>0.2</v>
      </c>
      <c r="AX142" s="17" t="s">
        <v>66</v>
      </c>
      <c r="AY142" s="17" t="s">
        <v>43</v>
      </c>
      <c r="AZ142" s="17" t="s">
        <v>67</v>
      </c>
      <c r="BA142" s="17" t="s">
        <v>48</v>
      </c>
      <c r="BB142" s="43"/>
      <c r="BC142" s="43"/>
      <c r="BD142" s="43"/>
      <c r="BE142" s="43"/>
      <c r="BF142" s="43">
        <f>20.84/4.13</f>
        <v>5.0460048426150124</v>
      </c>
      <c r="BG142" s="44">
        <v>327</v>
      </c>
      <c r="BH142" s="45">
        <v>45863</v>
      </c>
      <c r="BI142" s="21">
        <v>0.72</v>
      </c>
      <c r="BJ142" s="21">
        <v>1.94</v>
      </c>
      <c r="BK142" s="21">
        <v>0.74</v>
      </c>
      <c r="BL142" s="21">
        <v>0.74</v>
      </c>
      <c r="BM142" s="21">
        <v>-0.19</v>
      </c>
      <c r="BN142" s="21">
        <v>-0.1</v>
      </c>
      <c r="BO142" s="21">
        <v>-0.52</v>
      </c>
      <c r="BP142" s="21">
        <v>1.1100000000000001</v>
      </c>
      <c r="BQ142" s="21">
        <v>2.02</v>
      </c>
      <c r="BR142" s="21">
        <v>2.73</v>
      </c>
      <c r="BS142" s="41" t="s">
        <v>68</v>
      </c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42"/>
      <c r="CH142" s="42"/>
      <c r="CI142" s="42"/>
      <c r="CJ142" s="42"/>
      <c r="CK142" s="42"/>
      <c r="CL142" s="42"/>
      <c r="CM142" s="42"/>
      <c r="CN142" s="42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</row>
    <row r="143" spans="1:119" ht="14.25" customHeight="1" x14ac:dyDescent="0.2">
      <c r="A143" s="17"/>
      <c r="B143" s="1"/>
      <c r="C143" s="1"/>
      <c r="D143" s="18"/>
      <c r="E143" s="1"/>
      <c r="F143" s="1"/>
      <c r="G143" s="1"/>
      <c r="H143" s="2"/>
      <c r="I143" s="18"/>
      <c r="J143" s="2"/>
      <c r="K143" s="1"/>
      <c r="L143" s="19"/>
      <c r="M143" s="24"/>
      <c r="N143" s="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</row>
    <row r="144" spans="1:119" ht="14.25" customHeight="1" x14ac:dyDescent="0.2">
      <c r="A144" s="17" t="str">
        <f>D144&amp;"|"&amp;E144&amp;"|"&amp;F144&amp;"|"&amp;G144</f>
        <v>5x|BTC|DCA|30m</v>
      </c>
      <c r="B144" s="1" t="s">
        <v>28</v>
      </c>
      <c r="C144" s="1"/>
      <c r="D144" s="18" t="s">
        <v>65</v>
      </c>
      <c r="E144" s="1" t="s">
        <v>73</v>
      </c>
      <c r="F144" s="1" t="s">
        <v>105</v>
      </c>
      <c r="G144" s="1" t="s">
        <v>38</v>
      </c>
      <c r="H144" s="2">
        <v>1606</v>
      </c>
      <c r="I144" s="18">
        <v>5</v>
      </c>
      <c r="J144" s="2">
        <f>H144*I144</f>
        <v>8030</v>
      </c>
      <c r="K144" s="1"/>
      <c r="L144" s="19"/>
      <c r="M144" s="24"/>
      <c r="N144" s="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</row>
    <row r="145" spans="1:119" ht="14.25" customHeight="1" x14ac:dyDescent="0.2">
      <c r="A145" s="17"/>
      <c r="B145" s="1"/>
      <c r="C145" s="1"/>
      <c r="D145" s="18"/>
      <c r="E145" s="1"/>
      <c r="F145" s="1"/>
      <c r="G145" s="1"/>
      <c r="H145" s="2"/>
      <c r="I145" s="18"/>
      <c r="J145" s="2"/>
      <c r="K145" s="1"/>
      <c r="L145" s="19"/>
      <c r="M145" s="24"/>
      <c r="N145" s="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</row>
    <row r="146" spans="1:119" ht="14.25" customHeight="1" x14ac:dyDescent="0.2">
      <c r="A146" s="17"/>
      <c r="B146" s="1"/>
      <c r="C146" s="1"/>
      <c r="D146" s="1"/>
      <c r="E146" s="1"/>
      <c r="F146" s="1"/>
      <c r="G146" s="1"/>
      <c r="H146" s="57"/>
      <c r="I146" s="57"/>
      <c r="J146" s="57"/>
      <c r="K146" s="104"/>
      <c r="L146" s="19"/>
      <c r="M146" s="96"/>
      <c r="N146" s="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</row>
    <row r="147" spans="1:119" ht="14.25" customHeight="1" x14ac:dyDescent="0.2">
      <c r="A147" s="17"/>
      <c r="B147" s="1" t="s">
        <v>121</v>
      </c>
      <c r="C147" s="18"/>
      <c r="D147" s="1"/>
      <c r="E147" s="1"/>
      <c r="F147" s="1"/>
      <c r="G147" s="1"/>
      <c r="H147" s="57"/>
      <c r="I147" s="24"/>
      <c r="J147" s="57"/>
      <c r="K147" s="104"/>
      <c r="L147" s="19"/>
      <c r="M147" s="96"/>
      <c r="N147" s="20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</row>
    <row r="148" spans="1:119" ht="14.25" customHeight="1" x14ac:dyDescent="0.2">
      <c r="A148" s="17"/>
      <c r="B148" s="1"/>
      <c r="C148" s="1"/>
      <c r="D148" s="1"/>
      <c r="E148" s="1"/>
      <c r="F148" s="1"/>
      <c r="G148" s="1"/>
      <c r="H148" s="57"/>
      <c r="I148" s="57"/>
      <c r="J148" s="57"/>
      <c r="K148" s="104"/>
      <c r="L148" s="19"/>
      <c r="M148" s="96"/>
      <c r="N148" s="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</row>
    <row r="149" spans="1:119" ht="14.25" customHeight="1" x14ac:dyDescent="0.2">
      <c r="A149" s="5" t="str">
        <f t="shared" ref="A149:A174" si="54">D149&amp;"|"&amp;E149&amp;"|"&amp;F149&amp;"|"&amp;G149</f>
        <v>|226190|234000|</v>
      </c>
      <c r="B149" s="5" t="s">
        <v>122</v>
      </c>
      <c r="C149" s="5"/>
      <c r="D149" s="5"/>
      <c r="E149" s="5">
        <f>10*(1389+18000+3230)</f>
        <v>226190</v>
      </c>
      <c r="F149" s="5">
        <v>234000</v>
      </c>
      <c r="G149" s="5"/>
      <c r="H149" s="5"/>
      <c r="I149" s="6"/>
      <c r="J149" s="6"/>
      <c r="K149" s="5"/>
      <c r="L149" s="6"/>
      <c r="M149" s="5"/>
      <c r="N149" s="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</row>
    <row r="150" spans="1:119" ht="14.25" customHeight="1" x14ac:dyDescent="0.2">
      <c r="A150" s="17" t="str">
        <f t="shared" si="54"/>
        <v>[3111f1fd]|NEAR|Stiff Surge|1H</v>
      </c>
      <c r="B150" s="1" t="s">
        <v>28</v>
      </c>
      <c r="C150" s="43">
        <f t="shared" ref="C150:C162" si="55">H150/$E$149</f>
        <v>0.17684247756311067</v>
      </c>
      <c r="D150" s="1" t="s">
        <v>56</v>
      </c>
      <c r="E150" s="1" t="s">
        <v>57</v>
      </c>
      <c r="F150" s="1" t="s">
        <v>58</v>
      </c>
      <c r="G150" s="1" t="s">
        <v>52</v>
      </c>
      <c r="H150" s="2">
        <v>40000</v>
      </c>
      <c r="I150" s="2">
        <f t="shared" ref="I150:I162" si="56">H150*0.21</f>
        <v>8400</v>
      </c>
      <c r="J150" s="2">
        <f>I150</f>
        <v>8400</v>
      </c>
      <c r="K150" s="1">
        <v>440</v>
      </c>
      <c r="L150" s="19">
        <f t="array" ref="L150">IFERROR(INDEX('Strategy Watchlist'!L:L,MATCH($A150,'Strategy Watchlist'!$A:$A,0)),"Not Found")</f>
        <v>3.1660516605166054</v>
      </c>
      <c r="M150" s="12">
        <f t="array" ref="M150">IFERROR(INDEX('Strategy Watchlist'!M:M,MATCH($A150,'Strategy Watchlist'!$A:$A,0)),"Not Found")</f>
        <v>237</v>
      </c>
      <c r="N150" s="20">
        <f t="array" ref="N150">IFERROR(INDEX('Strategy Watchlist'!N:N,MATCH($A150,'Strategy Watchlist'!$A:$A,0)),"Not Found")</f>
        <v>45717</v>
      </c>
      <c r="O150" s="21">
        <f t="array" ref="O150">IFERROR(INDEX('Strategy Watchlist'!P:P,MATCH($A150,'Strategy Watchlist'!$A:$A,0)),"Not Found")</f>
        <v>-1.39</v>
      </c>
      <c r="P150" s="21">
        <f t="array" ref="P150">IFERROR(INDEX('Strategy Watchlist'!Q:Q,MATCH($A150,'Strategy Watchlist'!$A:$A,0)),"Not Found")</f>
        <v>0.56000000000000005</v>
      </c>
      <c r="Q150" s="21">
        <f t="array" ref="Q150">IFERROR(INDEX('Strategy Watchlist'!R:R,MATCH($A150,'Strategy Watchlist'!$A:$A,0)),"Not Found")</f>
        <v>-0.43</v>
      </c>
      <c r="R150" s="21">
        <f t="array" ref="R150">IFERROR(INDEX('Strategy Watchlist'!S:S,MATCH($A150,'Strategy Watchlist'!$A:$A,0)),"Not Found")</f>
        <v>-0.45</v>
      </c>
      <c r="S150" s="21">
        <f t="array" ref="S150">IFERROR(INDEX('Strategy Watchlist'!T:T,MATCH($A150,'Strategy Watchlist'!$A:$A,0)),"Not Found")</f>
        <v>4.99</v>
      </c>
      <c r="T150" s="21">
        <f t="array" ref="T150">IFERROR(INDEX('Strategy Watchlist'!U:U,MATCH($A150,'Strategy Watchlist'!$A:$A,0)),"Not Found")</f>
        <v>4.37</v>
      </c>
      <c r="U150" s="21">
        <f t="array" ref="U150">IFERROR(INDEX('Strategy Watchlist'!V:V,MATCH($A150,'Strategy Watchlist'!$A:$A,0)),"Not Found")</f>
        <v>-1.47</v>
      </c>
      <c r="V150" s="21">
        <f t="array" ref="V150">IFERROR(INDEX('Strategy Watchlist'!W:W,MATCH($A150,'Strategy Watchlist'!$A:$A,0)),"Not Found")</f>
        <v>1.85</v>
      </c>
      <c r="W150" s="21">
        <f t="array" ref="W150">IFERROR(INDEX('Strategy Watchlist'!X:X,MATCH($A150,'Strategy Watchlist'!$A:$A,0)),"Not Found")</f>
        <v>-0.11</v>
      </c>
      <c r="X150" s="21">
        <f t="array" ref="X150">IFERROR(INDEX('Strategy Watchlist'!Y:Y,MATCH($A150,'Strategy Watchlist'!$A:$A,0)),"Not Found")</f>
        <v>1.53</v>
      </c>
      <c r="Y150" s="22" t="str">
        <f t="array" ref="Y150">IFERROR(INDEX('Strategy Watchlist'!Z:Z,MATCH($A150,'Strategy Watchlist'!$A:$A,0)),"Not Found")</f>
        <v>https://www.tradingview.com/chart/Q9MeKvVC/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</row>
    <row r="151" spans="1:119" ht="14.25" customHeight="1" x14ac:dyDescent="0.2">
      <c r="A151" s="29" t="str">
        <f t="shared" si="54"/>
        <v>[6dcd4dc9]|ETH|precisionTrend|30m</v>
      </c>
      <c r="B151" s="29" t="s">
        <v>28</v>
      </c>
      <c r="C151" s="27">
        <f t="shared" si="55"/>
        <v>0.22105309695388833</v>
      </c>
      <c r="D151" s="29" t="s">
        <v>86</v>
      </c>
      <c r="E151" s="29" t="s">
        <v>46</v>
      </c>
      <c r="F151" s="29" t="s">
        <v>54</v>
      </c>
      <c r="G151" s="97" t="s">
        <v>38</v>
      </c>
      <c r="H151" s="30">
        <v>50000</v>
      </c>
      <c r="I151" s="73">
        <f t="shared" si="56"/>
        <v>10500</v>
      </c>
      <c r="J151" s="30">
        <v>18000</v>
      </c>
      <c r="K151" s="29">
        <v>520</v>
      </c>
      <c r="L151" s="72">
        <f t="array" ref="L151">IFERROR(INDEX('Strategy Watchlist'!L:L,MATCH($A151,'Strategy Watchlist'!$A:$A,0)),"Not Found")</f>
        <v>9.2112359550561802</v>
      </c>
      <c r="M151" s="73">
        <f t="array" ref="M151">IFERROR(INDEX('Strategy Watchlist'!M:M,MATCH($A151,'Strategy Watchlist'!$A:$A,0)),"Not Found")</f>
        <v>312</v>
      </c>
      <c r="N151" s="74">
        <f t="array" ref="N151">IFERROR(INDEX('Strategy Watchlist'!N:N,MATCH($A151,'Strategy Watchlist'!$A:$A,0)),"Not Found")</f>
        <v>45772</v>
      </c>
      <c r="O151" s="28">
        <f t="array" ref="O151">IFERROR(INDEX('Strategy Watchlist'!P:P,MATCH($A151,'Strategy Watchlist'!$A:$A,0)),"Not Found")</f>
        <v>1.07</v>
      </c>
      <c r="P151" s="28">
        <f t="array" ref="P151">IFERROR(INDEX('Strategy Watchlist'!Q:Q,MATCH($A151,'Strategy Watchlist'!$A:$A,0)),"Not Found")</f>
        <v>-2.52</v>
      </c>
      <c r="Q151" s="28">
        <f t="array" ref="Q151">IFERROR(INDEX('Strategy Watchlist'!R:R,MATCH($A151,'Strategy Watchlist'!$A:$A,0)),"Not Found")</f>
        <v>1.84</v>
      </c>
      <c r="R151" s="28">
        <f t="array" ref="R151">IFERROR(INDEX('Strategy Watchlist'!S:S,MATCH($A151,'Strategy Watchlist'!$A:$A,0)),"Not Found")</f>
        <v>3.9</v>
      </c>
      <c r="S151" s="28">
        <f t="array" ref="S151">IFERROR(INDEX('Strategy Watchlist'!T:T,MATCH($A151,'Strategy Watchlist'!$A:$A,0)),"Not Found")</f>
        <v>1.37</v>
      </c>
      <c r="T151" s="28">
        <f t="array" ref="T151">IFERROR(INDEX('Strategy Watchlist'!U:U,MATCH($A151,'Strategy Watchlist'!$A:$A,0)),"Not Found")</f>
        <v>6.22</v>
      </c>
      <c r="U151" s="28">
        <f t="array" ref="U151">IFERROR(INDEX('Strategy Watchlist'!V:V,MATCH($A151,'Strategy Watchlist'!$A:$A,0)),"Not Found")</f>
        <v>3</v>
      </c>
      <c r="V151" s="28">
        <f t="array" ref="V151">IFERROR(INDEX('Strategy Watchlist'!W:W,MATCH($A151,'Strategy Watchlist'!$A:$A,0)),"Not Found")</f>
        <v>3.99</v>
      </c>
      <c r="W151" s="28">
        <f t="array" ref="W151">IFERROR(INDEX('Strategy Watchlist'!X:X,MATCH($A151,'Strategy Watchlist'!$A:$A,0)),"Not Found")</f>
        <v>0.93</v>
      </c>
      <c r="X151" s="28">
        <f t="array" ref="X151">IFERROR(INDEX('Strategy Watchlist'!Y:Y,MATCH($A151,'Strategy Watchlist'!$A:$A,0)),"Not Found")</f>
        <v>2.21</v>
      </c>
      <c r="Y151" s="34" t="str">
        <f t="array" ref="Y151">IFERROR(INDEX('Strategy Watchlist'!Z:Z,MATCH($A151,'Strategy Watchlist'!$A:$A,0)),"Not Found")</f>
        <v>https://www.tradingview.com/chart/YxD2lfI2/</v>
      </c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</row>
    <row r="152" spans="1:119" ht="14.25" customHeight="1" x14ac:dyDescent="0.2">
      <c r="A152" s="63" t="str">
        <f t="shared" si="54"/>
        <v>[17ab2738]|ARB|stiff Surge|45m</v>
      </c>
      <c r="B152" s="63" t="s">
        <v>28</v>
      </c>
      <c r="C152" s="88">
        <f t="shared" si="55"/>
        <v>0.39789557451699897</v>
      </c>
      <c r="D152" s="98" t="s">
        <v>29</v>
      </c>
      <c r="E152" s="98" t="s">
        <v>30</v>
      </c>
      <c r="F152" s="98" t="s">
        <v>31</v>
      </c>
      <c r="G152" s="98" t="s">
        <v>32</v>
      </c>
      <c r="H152" s="99">
        <v>90000</v>
      </c>
      <c r="I152" s="99">
        <f t="shared" si="56"/>
        <v>18900</v>
      </c>
      <c r="J152" s="99">
        <v>23300</v>
      </c>
      <c r="K152" s="98">
        <v>800</v>
      </c>
      <c r="L152" s="66">
        <f t="array" ref="L152">IFERROR(INDEX('Strategy Watchlist'!L:L,MATCH($A152,'Strategy Watchlist'!$A:$A,0)),"Not Found")</f>
        <v>10.965644171779141</v>
      </c>
      <c r="M152" s="67">
        <f t="array" ref="M152">IFERROR(INDEX('Strategy Watchlist'!M:M,MATCH($A152,'Strategy Watchlist'!$A:$A,0)),"Not Found")</f>
        <v>824</v>
      </c>
      <c r="N152" s="68">
        <f t="array" ref="N152">IFERROR(INDEX('Strategy Watchlist'!N:N,MATCH($A152,'Strategy Watchlist'!$A:$A,0)),"Not Found")</f>
        <v>45689</v>
      </c>
      <c r="O152" s="69">
        <f t="array" ref="O152">IFERROR(INDEX('Strategy Watchlist'!P:P,MATCH($A152,'Strategy Watchlist'!$A:$A,0)),"Not Found")</f>
        <v>-1.7</v>
      </c>
      <c r="P152" s="69">
        <f t="array" ref="P152">IFERROR(INDEX('Strategy Watchlist'!Q:Q,MATCH($A152,'Strategy Watchlist'!$A:$A,0)),"Not Found")</f>
        <v>-6.85</v>
      </c>
      <c r="Q152" s="69">
        <f t="array" ref="Q152">IFERROR(INDEX('Strategy Watchlist'!R:R,MATCH($A152,'Strategy Watchlist'!$A:$A,0)),"Not Found")</f>
        <v>1.99</v>
      </c>
      <c r="R152" s="69">
        <f t="array" ref="R152">IFERROR(INDEX('Strategy Watchlist'!S:S,MATCH($A152,'Strategy Watchlist'!$A:$A,0)),"Not Found")</f>
        <v>6.96</v>
      </c>
      <c r="S152" s="69">
        <f t="array" ref="S152">IFERROR(INDEX('Strategy Watchlist'!T:T,MATCH($A152,'Strategy Watchlist'!$A:$A,0)),"Not Found")</f>
        <v>8.0739999999999998</v>
      </c>
      <c r="T152" s="69">
        <f t="array" ref="T152">IFERROR(INDEX('Strategy Watchlist'!U:U,MATCH($A152,'Strategy Watchlist'!$A:$A,0)),"Not Found")</f>
        <v>11.5</v>
      </c>
      <c r="U152" s="69">
        <f t="array" ref="U152">IFERROR(INDEX('Strategy Watchlist'!V:V,MATCH($A152,'Strategy Watchlist'!$A:$A,0)),"Not Found")</f>
        <v>2.75</v>
      </c>
      <c r="V152" s="69">
        <f t="array" ref="V152">IFERROR(INDEX('Strategy Watchlist'!W:W,MATCH($A152,'Strategy Watchlist'!$A:$A,0)),"Not Found")</f>
        <v>2.57</v>
      </c>
      <c r="W152" s="69">
        <f t="array" ref="W152">IFERROR(INDEX('Strategy Watchlist'!X:X,MATCH($A152,'Strategy Watchlist'!$A:$A,0)),"Not Found")</f>
        <v>6.31</v>
      </c>
      <c r="X152" s="69">
        <f t="array" ref="X152">IFERROR(INDEX('Strategy Watchlist'!Y:Y,MATCH($A152,'Strategy Watchlist'!$A:$A,0)),"Not Found")</f>
        <v>7.91</v>
      </c>
      <c r="Y152" s="70" t="str">
        <f t="array" ref="Y152">IFERROR(INDEX('Strategy Watchlist'!Z:Z,MATCH($A152,'Strategy Watchlist'!$A:$A,0)),"Not Found")</f>
        <v>https://www.tradingview.com/chart/EjQUtmuc/</v>
      </c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  <c r="CD152" s="100"/>
      <c r="CE152" s="10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  <c r="CS152" s="100"/>
      <c r="CT152" s="100"/>
      <c r="CU152" s="100"/>
      <c r="CV152" s="100"/>
      <c r="CW152" s="100"/>
      <c r="CX152" s="100"/>
      <c r="CY152" s="100"/>
      <c r="CZ152" s="100"/>
      <c r="DA152" s="100"/>
      <c r="DB152" s="100"/>
      <c r="DC152" s="100"/>
      <c r="DD152" s="100"/>
      <c r="DE152" s="100"/>
      <c r="DF152" s="100"/>
      <c r="DG152" s="100"/>
      <c r="DH152" s="100"/>
      <c r="DI152" s="100"/>
      <c r="DJ152" s="100"/>
      <c r="DK152" s="100"/>
      <c r="DL152" s="100"/>
      <c r="DM152" s="100"/>
      <c r="DN152" s="100"/>
      <c r="DO152" s="100"/>
    </row>
    <row r="153" spans="1:119" ht="14.25" customHeight="1" x14ac:dyDescent="0.2">
      <c r="A153" s="17" t="str">
        <f t="shared" si="54"/>
        <v>|DOGE|MACD|45m</v>
      </c>
      <c r="B153" s="17" t="s">
        <v>28</v>
      </c>
      <c r="C153" s="43">
        <f t="shared" si="55"/>
        <v>0.15915822980679958</v>
      </c>
      <c r="D153" s="17"/>
      <c r="E153" s="17" t="s">
        <v>33</v>
      </c>
      <c r="F153" s="17" t="s">
        <v>34</v>
      </c>
      <c r="G153" s="23" t="s">
        <v>32</v>
      </c>
      <c r="H153" s="24">
        <v>36000</v>
      </c>
      <c r="I153" s="24">
        <f t="shared" si="56"/>
        <v>7560</v>
      </c>
      <c r="J153" s="24">
        <v>17300</v>
      </c>
      <c r="K153" s="39">
        <v>550</v>
      </c>
      <c r="L153" s="19">
        <f t="array" ref="L153">IFERROR(INDEX('Strategy Watchlist'!L:L,MATCH($A153,'Strategy Watchlist'!$A:$A,0)),"Not Found")</f>
        <v>6.8331771321462043</v>
      </c>
      <c r="M153" s="12">
        <f t="array" ref="M153">IFERROR(INDEX('Strategy Watchlist'!M:M,MATCH($A153,'Strategy Watchlist'!$A:$A,0)),"Not Found")</f>
        <v>147</v>
      </c>
      <c r="N153" s="20">
        <f t="array" ref="N153">IFERROR(INDEX('Strategy Watchlist'!N:N,MATCH($A153,'Strategy Watchlist'!$A:$A,0)),"Not Found")</f>
        <v>45662</v>
      </c>
      <c r="O153" s="21">
        <f t="array" ref="O153">IFERROR(INDEX('Strategy Watchlist'!P:P,MATCH($A153,'Strategy Watchlist'!$A:$A,0)),"Not Found")</f>
        <v>-3.88</v>
      </c>
      <c r="P153" s="21">
        <f t="array" ref="P153">IFERROR(INDEX('Strategy Watchlist'!Q:Q,MATCH($A153,'Strategy Watchlist'!$A:$A,0)),"Not Found")</f>
        <v>5.91</v>
      </c>
      <c r="Q153" s="21">
        <f t="array" ref="Q153">IFERROR(INDEX('Strategy Watchlist'!R:R,MATCH($A153,'Strategy Watchlist'!$A:$A,0)),"Not Found")</f>
        <v>-0.08</v>
      </c>
      <c r="R153" s="21">
        <f t="array" ref="R153">IFERROR(INDEX('Strategy Watchlist'!S:S,MATCH($A153,'Strategy Watchlist'!$A:$A,0)),"Not Found")</f>
        <v>4.72</v>
      </c>
      <c r="S153" s="21">
        <f t="array" ref="S153">IFERROR(INDEX('Strategy Watchlist'!T:T,MATCH($A153,'Strategy Watchlist'!$A:$A,0)),"Not Found")</f>
        <v>8.93</v>
      </c>
      <c r="T153" s="21">
        <f t="array" ref="T153">IFERROR(INDEX('Strategy Watchlist'!U:U,MATCH($A153,'Strategy Watchlist'!$A:$A,0)),"Not Found")</f>
        <v>2.69</v>
      </c>
      <c r="U153" s="21">
        <f t="array" ref="U153">IFERROR(INDEX('Strategy Watchlist'!V:V,MATCH($A153,'Strategy Watchlist'!$A:$A,0)),"Not Found")</f>
        <v>2.04</v>
      </c>
      <c r="V153" s="21">
        <f t="array" ref="V153">IFERROR(INDEX('Strategy Watchlist'!W:W,MATCH($A153,'Strategy Watchlist'!$A:$A,0)),"Not Found")</f>
        <v>5.31</v>
      </c>
      <c r="W153" s="21">
        <f t="array" ref="W153">IFERROR(INDEX('Strategy Watchlist'!X:X,MATCH($A153,'Strategy Watchlist'!$A:$A,0)),"Not Found")</f>
        <v>0.72</v>
      </c>
      <c r="X153" s="21">
        <f t="array" ref="X153">IFERROR(INDEX('Strategy Watchlist'!Y:Y,MATCH($A153,'Strategy Watchlist'!$A:$A,0)),"Not Found")</f>
        <v>3.27</v>
      </c>
      <c r="Y153" s="22" t="str">
        <f t="array" ref="Y153">IFERROR(INDEX('Strategy Watchlist'!Z:Z,MATCH($A153,'Strategy Watchlist'!$A:$A,0)),"Not Found")</f>
        <v>https://www.tradingview.com/chart/Dvd9vGt5/</v>
      </c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</row>
    <row r="154" spans="1:119" ht="14.25" customHeight="1" x14ac:dyDescent="0.2">
      <c r="A154" s="17" t="str">
        <f t="shared" si="54"/>
        <v>|LINK|McGinley|45m</v>
      </c>
      <c r="B154" s="1" t="s">
        <v>28</v>
      </c>
      <c r="C154" s="43">
        <f t="shared" si="55"/>
        <v>0.22105309695388833</v>
      </c>
      <c r="D154" s="17"/>
      <c r="E154" s="17" t="s">
        <v>25</v>
      </c>
      <c r="F154" s="17" t="s">
        <v>47</v>
      </c>
      <c r="G154" s="17" t="s">
        <v>32</v>
      </c>
      <c r="H154" s="24">
        <v>50000</v>
      </c>
      <c r="I154" s="24">
        <f t="shared" si="56"/>
        <v>10500</v>
      </c>
      <c r="J154" s="24">
        <v>18000</v>
      </c>
      <c r="K154" s="17">
        <v>450</v>
      </c>
      <c r="L154" s="19">
        <f t="array" ref="L154">IFERROR(INDEX('Strategy Watchlist'!L:L,MATCH($A154,'Strategy Watchlist'!$A:$A,0)),"Not Found")</f>
        <v>7.7349823321554769</v>
      </c>
      <c r="M154" s="12">
        <f t="array" ref="M154">IFERROR(INDEX('Strategy Watchlist'!M:M,MATCH($A154,'Strategy Watchlist'!$A:$A,0)),"Not Found")</f>
        <v>147</v>
      </c>
      <c r="N154" s="20">
        <f t="array" ref="N154">IFERROR(INDEX('Strategy Watchlist'!N:N,MATCH($A154,'Strategy Watchlist'!$A:$A,0)),"Not Found")</f>
        <v>45802</v>
      </c>
      <c r="O154" s="21">
        <f t="array" ref="O154">IFERROR(INDEX('Strategy Watchlist'!P:P,MATCH($A154,'Strategy Watchlist'!$A:$A,0)),"Not Found")</f>
        <v>-0.55000000000000004</v>
      </c>
      <c r="P154" s="21">
        <f t="array" ref="P154">IFERROR(INDEX('Strategy Watchlist'!Q:Q,MATCH($A154,'Strategy Watchlist'!$A:$A,0)),"Not Found")</f>
        <v>-1.1000000000000001</v>
      </c>
      <c r="Q154" s="21">
        <f t="array" ref="Q154">IFERROR(INDEX('Strategy Watchlist'!R:R,MATCH($A154,'Strategy Watchlist'!$A:$A,0)),"Not Found")</f>
        <v>2.98</v>
      </c>
      <c r="R154" s="21">
        <f t="array" ref="R154">IFERROR(INDEX('Strategy Watchlist'!S:S,MATCH($A154,'Strategy Watchlist'!$A:$A,0)),"Not Found")</f>
        <v>2.97</v>
      </c>
      <c r="S154" s="21">
        <f t="array" ref="S154">IFERROR(INDEX('Strategy Watchlist'!T:T,MATCH($A154,'Strategy Watchlist'!$A:$A,0)),"Not Found")</f>
        <v>2.9</v>
      </c>
      <c r="T154" s="21">
        <f t="array" ref="T154">IFERROR(INDEX('Strategy Watchlist'!U:U,MATCH($A154,'Strategy Watchlist'!$A:$A,0)),"Not Found")</f>
        <v>2</v>
      </c>
      <c r="U154" s="21">
        <f t="array" ref="U154">IFERROR(INDEX('Strategy Watchlist'!V:V,MATCH($A154,'Strategy Watchlist'!$A:$A,0)),"Not Found")</f>
        <v>2.2400000000000002</v>
      </c>
      <c r="V154" s="21">
        <f t="array" ref="V154">IFERROR(INDEX('Strategy Watchlist'!W:W,MATCH($A154,'Strategy Watchlist'!$A:$A,0)),"Not Found")</f>
        <v>0.79</v>
      </c>
      <c r="W154" s="21">
        <f t="array" ref="W154">IFERROR(INDEX('Strategy Watchlist'!X:X,MATCH($A154,'Strategy Watchlist'!$A:$A,0)),"Not Found")</f>
        <v>0.69</v>
      </c>
      <c r="X154" s="21">
        <f t="array" ref="X154">IFERROR(INDEX('Strategy Watchlist'!Y:Y,MATCH($A154,'Strategy Watchlist'!$A:$A,0)),"Not Found")</f>
        <v>-0.61</v>
      </c>
      <c r="Y154" s="22" t="str">
        <f t="array" ref="Y154">IFERROR(INDEX('Strategy Watchlist'!Z:Z,MATCH($A154,'Strategy Watchlist'!$A:$A,0)),"Not Found")</f>
        <v>https://www.tradingview.com/chart/elrmSYee/</v>
      </c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</row>
    <row r="155" spans="1:119" ht="14.25" customHeight="1" x14ac:dyDescent="0.2">
      <c r="A155" s="17" t="str">
        <f t="shared" si="54"/>
        <v>[e92283ec]|HBAR|Heiken-Ashi|30m</v>
      </c>
      <c r="B155" s="1" t="s">
        <v>28</v>
      </c>
      <c r="C155" s="43">
        <f t="shared" si="55"/>
        <v>0.22105309695388833</v>
      </c>
      <c r="D155" s="17" t="s">
        <v>35</v>
      </c>
      <c r="E155" s="17" t="s">
        <v>36</v>
      </c>
      <c r="F155" s="17" t="s">
        <v>37</v>
      </c>
      <c r="G155" s="23" t="s">
        <v>38</v>
      </c>
      <c r="H155" s="24">
        <v>50000</v>
      </c>
      <c r="I155" s="24">
        <f t="shared" si="56"/>
        <v>10500</v>
      </c>
      <c r="J155" s="24">
        <v>11060</v>
      </c>
      <c r="K155" s="17">
        <v>450</v>
      </c>
      <c r="L155" s="19">
        <f t="array" ref="L155">IFERROR(INDEX('Strategy Watchlist'!L:L,MATCH($A155,'Strategy Watchlist'!$A:$A,0)),"Not Found")</f>
        <v>6.7744000000000009</v>
      </c>
      <c r="M155" s="12">
        <f t="array" ref="M155">IFERROR(INDEX('Strategy Watchlist'!M:M,MATCH($A155,'Strategy Watchlist'!$A:$A,0)),"Not Found")</f>
        <v>224</v>
      </c>
      <c r="N155" s="20">
        <f t="array" ref="N155">IFERROR(INDEX('Strategy Watchlist'!N:N,MATCH($A155,'Strategy Watchlist'!$A:$A,0)),"Not Found")</f>
        <v>45833</v>
      </c>
      <c r="O155" s="21">
        <f t="array" ref="O155">IFERROR(INDEX('Strategy Watchlist'!P:P,MATCH($A155,'Strategy Watchlist'!$A:$A,0)),"Not Found")</f>
        <v>1.01</v>
      </c>
      <c r="P155" s="21">
        <f t="array" ref="P155">IFERROR(INDEX('Strategy Watchlist'!Q:Q,MATCH($A155,'Strategy Watchlist'!$A:$A,0)),"Not Found")</f>
        <v>-1.1499999999999999</v>
      </c>
      <c r="Q155" s="21">
        <f t="array" ref="Q155">IFERROR(INDEX('Strategy Watchlist'!R:R,MATCH($A155,'Strategy Watchlist'!$A:$A,0)),"Not Found")</f>
        <v>0.83</v>
      </c>
      <c r="R155" s="21">
        <f t="array" ref="R155">IFERROR(INDEX('Strategy Watchlist'!S:S,MATCH($A155,'Strategy Watchlist'!$A:$A,0)),"Not Found")</f>
        <v>1.52</v>
      </c>
      <c r="S155" s="21">
        <f t="array" ref="S155">IFERROR(INDEX('Strategy Watchlist'!T:T,MATCH($A155,'Strategy Watchlist'!$A:$A,0)),"Not Found")</f>
        <v>-0.03</v>
      </c>
      <c r="T155" s="21">
        <f t="array" ref="T155">IFERROR(INDEX('Strategy Watchlist'!U:U,MATCH($A155,'Strategy Watchlist'!$A:$A,0)),"Not Found")</f>
        <v>4.38</v>
      </c>
      <c r="U155" s="21">
        <f t="array" ref="U155">IFERROR(INDEX('Strategy Watchlist'!V:V,MATCH($A155,'Strategy Watchlist'!$A:$A,0)),"Not Found")</f>
        <v>1.95</v>
      </c>
      <c r="V155" s="21">
        <f t="array" ref="V155">IFERROR(INDEX('Strategy Watchlist'!W:W,MATCH($A155,'Strategy Watchlist'!$A:$A,0)),"Not Found")</f>
        <v>1.98</v>
      </c>
      <c r="W155" s="21">
        <f t="array" ref="W155">IFERROR(INDEX('Strategy Watchlist'!X:X,MATCH($A155,'Strategy Watchlist'!$A:$A,0)),"Not Found")</f>
        <v>4.59</v>
      </c>
      <c r="X155" s="21">
        <f t="array" ref="X155">IFERROR(INDEX('Strategy Watchlist'!Y:Y,MATCH($A155,'Strategy Watchlist'!$A:$A,0)),"Not Found")</f>
        <v>-1.3</v>
      </c>
      <c r="Y155" s="22" t="str">
        <f t="array" ref="Y155">IFERROR(INDEX('Strategy Watchlist'!Z:Z,MATCH($A155,'Strategy Watchlist'!$A:$A,0)),"Not Found")</f>
        <v>https://www.tradingview.com/chart/ygHXwF84/</v>
      </c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</row>
    <row r="156" spans="1:119" ht="14.25" customHeight="1" x14ac:dyDescent="0.2">
      <c r="A156" s="17" t="str">
        <f t="shared" si="54"/>
        <v>[f80d2657]|PePe|JP Trend|30m</v>
      </c>
      <c r="B156" s="1" t="s">
        <v>28</v>
      </c>
      <c r="C156" s="43">
        <f t="shared" si="55"/>
        <v>0.19894778725849949</v>
      </c>
      <c r="D156" s="17" t="s">
        <v>39</v>
      </c>
      <c r="E156" s="17" t="s">
        <v>40</v>
      </c>
      <c r="F156" s="17" t="s">
        <v>41</v>
      </c>
      <c r="G156" s="23" t="s">
        <v>38</v>
      </c>
      <c r="H156" s="24">
        <v>45000</v>
      </c>
      <c r="I156" s="24">
        <f t="shared" si="56"/>
        <v>9450</v>
      </c>
      <c r="J156" s="24">
        <v>10000</v>
      </c>
      <c r="K156" s="17">
        <v>400</v>
      </c>
      <c r="L156" s="19">
        <f t="array" ref="L156">IFERROR(INDEX('Strategy Watchlist'!L:L,MATCH($A156,'Strategy Watchlist'!$A:$A,0)),"Not Found")</f>
        <v>11.341645885286782</v>
      </c>
      <c r="M156" s="12">
        <f t="array" ref="M156">IFERROR(INDEX('Strategy Watchlist'!M:M,MATCH($A156,'Strategy Watchlist'!$A:$A,0)),"Not Found")</f>
        <v>302</v>
      </c>
      <c r="N156" s="20">
        <f t="array" ref="N156">IFERROR(INDEX('Strategy Watchlist'!N:N,MATCH($A156,'Strategy Watchlist'!$A:$A,0)),"Not Found")</f>
        <v>45662</v>
      </c>
      <c r="O156" s="21">
        <f t="array" ref="O156">IFERROR(INDEX('Strategy Watchlist'!P:P,MATCH($A156,'Strategy Watchlist'!$A:$A,0)),"Not Found")</f>
        <v>3.05</v>
      </c>
      <c r="P156" s="21">
        <f t="array" ref="P156">IFERROR(INDEX('Strategy Watchlist'!Q:Q,MATCH($A156,'Strategy Watchlist'!$A:$A,0)),"Not Found")</f>
        <v>1.52</v>
      </c>
      <c r="Q156" s="21">
        <f t="array" ref="Q156">IFERROR(INDEX('Strategy Watchlist'!R:R,MATCH($A156,'Strategy Watchlist'!$A:$A,0)),"Not Found")</f>
        <v>-3.15</v>
      </c>
      <c r="R156" s="21">
        <f t="array" ref="R156">IFERROR(INDEX('Strategy Watchlist'!S:S,MATCH($A156,'Strategy Watchlist'!$A:$A,0)),"Not Found")</f>
        <v>2.2999999999999998</v>
      </c>
      <c r="S156" s="21">
        <f t="array" ref="S156">IFERROR(INDEX('Strategy Watchlist'!T:T,MATCH($A156,'Strategy Watchlist'!$A:$A,0)),"Not Found")</f>
        <v>-0.12</v>
      </c>
      <c r="T156" s="21">
        <f t="array" ref="T156">IFERROR(INDEX('Strategy Watchlist'!U:U,MATCH($A156,'Strategy Watchlist'!$A:$A,0)),"Not Found")</f>
        <v>5.69</v>
      </c>
      <c r="U156" s="21">
        <f t="array" ref="U156">IFERROR(INDEX('Strategy Watchlist'!V:V,MATCH($A156,'Strategy Watchlist'!$A:$A,0)),"Not Found")</f>
        <v>-1.33</v>
      </c>
      <c r="V156" s="21">
        <f t="array" ref="V156">IFERROR(INDEX('Strategy Watchlist'!W:W,MATCH($A156,'Strategy Watchlist'!$A:$A,0)),"Not Found")</f>
        <v>2.12</v>
      </c>
      <c r="W156" s="21">
        <f t="array" ref="W156">IFERROR(INDEX('Strategy Watchlist'!X:X,MATCH($A156,'Strategy Watchlist'!$A:$A,0)),"Not Found")</f>
        <v>3.07</v>
      </c>
      <c r="X156" s="21">
        <f t="array" ref="X156">IFERROR(INDEX('Strategy Watchlist'!Y:Y,MATCH($A156,'Strategy Watchlist'!$A:$A,0)),"Not Found")</f>
        <v>3.75</v>
      </c>
      <c r="Y156" s="22" t="str">
        <f t="array" ref="Y156">IFERROR(INDEX('Strategy Watchlist'!Z:Z,MATCH($A156,'Strategy Watchlist'!$A:$A,0)),"Not Found")</f>
        <v>https://www.tradingview.com/chart/uNPZ2spK/</v>
      </c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</row>
    <row r="157" spans="1:119" ht="14.25" customHeight="1" x14ac:dyDescent="0.2">
      <c r="A157" s="17" t="str">
        <f t="shared" si="54"/>
        <v>[1e052093]|SOL|FlashProfit|59m</v>
      </c>
      <c r="B157" s="1" t="s">
        <v>28</v>
      </c>
      <c r="C157" s="43">
        <f t="shared" si="55"/>
        <v>0.22105309695388833</v>
      </c>
      <c r="D157" s="39" t="s">
        <v>83</v>
      </c>
      <c r="E157" s="17" t="s">
        <v>43</v>
      </c>
      <c r="F157" s="17" t="s">
        <v>84</v>
      </c>
      <c r="G157" s="39" t="s">
        <v>85</v>
      </c>
      <c r="H157" s="24">
        <v>50000</v>
      </c>
      <c r="I157" s="24">
        <f t="shared" si="56"/>
        <v>10500</v>
      </c>
      <c r="J157" s="12">
        <v>15000</v>
      </c>
      <c r="K157" s="39">
        <v>600</v>
      </c>
      <c r="L157" s="19">
        <f t="array" ref="L157">IFERROR(INDEX('Strategy Watchlist'!L:L,MATCH($A157,'Strategy Watchlist'!$A:$A,0)),"Not Found")</f>
        <v>4.1988505747126439</v>
      </c>
      <c r="M157" s="12">
        <f t="array" ref="M157">IFERROR(INDEX('Strategy Watchlist'!M:M,MATCH($A157,'Strategy Watchlist'!$A:$A,0)),"Not Found")</f>
        <v>567</v>
      </c>
      <c r="N157" s="20">
        <f t="array" ref="N157">IFERROR(INDEX('Strategy Watchlist'!N:N,MATCH($A157,'Strategy Watchlist'!$A:$A,0)),"Not Found")</f>
        <v>45925</v>
      </c>
      <c r="O157" s="21">
        <f t="array" ref="O157">IFERROR(INDEX('Strategy Watchlist'!P:P,MATCH($A157,'Strategy Watchlist'!$A:$A,0)),"Not Found")</f>
        <v>0.82</v>
      </c>
      <c r="P157" s="21">
        <f t="array" ref="P157">IFERROR(INDEX('Strategy Watchlist'!Q:Q,MATCH($A157,'Strategy Watchlist'!$A:$A,0)),"Not Found")</f>
        <v>6.44</v>
      </c>
      <c r="Q157" s="21">
        <f t="array" ref="Q157">IFERROR(INDEX('Strategy Watchlist'!R:R,MATCH($A157,'Strategy Watchlist'!$A:$A,0)),"Not Found")</f>
        <v>4.43</v>
      </c>
      <c r="R157" s="21">
        <f t="array" ref="R157">IFERROR(INDEX('Strategy Watchlist'!S:S,MATCH($A157,'Strategy Watchlist'!$A:$A,0)),"Not Found")</f>
        <v>-0.32</v>
      </c>
      <c r="S157" s="21">
        <f t="array" ref="S157">IFERROR(INDEX('Strategy Watchlist'!T:T,MATCH($A157,'Strategy Watchlist'!$A:$A,0)),"Not Found")</f>
        <v>0.78</v>
      </c>
      <c r="T157" s="21">
        <f t="array" ref="T157">IFERROR(INDEX('Strategy Watchlist'!U:U,MATCH($A157,'Strategy Watchlist'!$A:$A,0)),"Not Found")</f>
        <v>2.0299999999999998</v>
      </c>
      <c r="U157" s="21">
        <f t="array" ref="U157">IFERROR(INDEX('Strategy Watchlist'!V:V,MATCH($A157,'Strategy Watchlist'!$A:$A,0)),"Not Found")</f>
        <v>0.72</v>
      </c>
      <c r="V157" s="21">
        <f t="array" ref="V157">IFERROR(INDEX('Strategy Watchlist'!W:W,MATCH($A157,'Strategy Watchlist'!$A:$A,0)),"Not Found")</f>
        <v>2.39</v>
      </c>
      <c r="W157" s="21">
        <f t="array" ref="W157">IFERROR(INDEX('Strategy Watchlist'!X:X,MATCH($A157,'Strategy Watchlist'!$A:$A,0)),"Not Found")</f>
        <v>1.96</v>
      </c>
      <c r="X157" s="21">
        <f t="array" ref="X157">IFERROR(INDEX('Strategy Watchlist'!Y:Y,MATCH($A157,'Strategy Watchlist'!$A:$A,0)),"Not Found")</f>
        <v>0.45</v>
      </c>
      <c r="Y157" s="22" t="str">
        <f t="array" ref="Y157">IFERROR(INDEX('Strategy Watchlist'!Z:Z,MATCH($A157,'Strategy Watchlist'!$A:$A,0)),"Not Found")</f>
        <v>https://www.tradingview.com/chart/mnGjsgoY/</v>
      </c>
      <c r="Z157" s="39"/>
      <c r="AA157" s="39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  <c r="CJ157" s="42"/>
      <c r="CK157" s="42"/>
      <c r="CL157" s="42"/>
      <c r="CM157" s="42"/>
      <c r="CN157" s="42"/>
      <c r="CO157" s="42"/>
      <c r="CP157" s="42"/>
      <c r="CQ157" s="42"/>
      <c r="CR157" s="42"/>
      <c r="CS157" s="42"/>
      <c r="CT157" s="42"/>
      <c r="CU157" s="42"/>
      <c r="CV157" s="42"/>
      <c r="CW157" s="42"/>
      <c r="CX157" s="42"/>
      <c r="CY157" s="42"/>
      <c r="CZ157" s="42"/>
      <c r="DA157" s="42"/>
      <c r="DB157" s="42"/>
      <c r="DC157" s="42"/>
      <c r="DD157" s="42"/>
      <c r="DE157" s="42"/>
      <c r="DF157" s="42"/>
      <c r="DG157" s="42"/>
      <c r="DH157" s="42"/>
      <c r="DI157" s="42"/>
      <c r="DJ157" s="42"/>
      <c r="DK157" s="42"/>
      <c r="DL157" s="42"/>
      <c r="DM157" s="42"/>
      <c r="DN157" s="42"/>
      <c r="DO157" s="42"/>
    </row>
    <row r="158" spans="1:119" ht="14.25" customHeight="1" x14ac:dyDescent="0.2">
      <c r="A158" s="17" t="str">
        <f t="shared" si="54"/>
        <v>[65caeaa0]|ROSE|WolfnBear|1H</v>
      </c>
      <c r="B158" s="1" t="s">
        <v>28</v>
      </c>
      <c r="C158" s="43">
        <f t="shared" si="55"/>
        <v>0.35368495512622133</v>
      </c>
      <c r="D158" s="17" t="s">
        <v>49</v>
      </c>
      <c r="E158" s="17" t="s">
        <v>50</v>
      </c>
      <c r="F158" s="17" t="s">
        <v>51</v>
      </c>
      <c r="G158" s="17" t="s">
        <v>52</v>
      </c>
      <c r="H158" s="24">
        <v>80000</v>
      </c>
      <c r="I158" s="24">
        <f t="shared" si="56"/>
        <v>16800</v>
      </c>
      <c r="J158" s="24">
        <v>13000</v>
      </c>
      <c r="K158" s="17">
        <v>600</v>
      </c>
      <c r="L158" s="19">
        <f t="array" ref="L158">IFERROR(INDEX('Strategy Watchlist'!L:L,MATCH($A158,'Strategy Watchlist'!$A:$A,0)),"Not Found")</f>
        <v>9.1257485029940124</v>
      </c>
      <c r="M158" s="12">
        <f t="array" ref="M158">IFERROR(INDEX('Strategy Watchlist'!M:M,MATCH($A158,'Strategy Watchlist'!$A:$A,0)),"Not Found")</f>
        <v>172</v>
      </c>
      <c r="N158" s="20">
        <f t="array" ref="N158">IFERROR(INDEX('Strategy Watchlist'!N:N,MATCH($A158,'Strategy Watchlist'!$A:$A,0)),"Not Found")</f>
        <v>45682</v>
      </c>
      <c r="O158" s="21">
        <f t="array" ref="O158">IFERROR(INDEX('Strategy Watchlist'!P:P,MATCH($A158,'Strategy Watchlist'!$A:$A,0)),"Not Found")</f>
        <v>1.04</v>
      </c>
      <c r="P158" s="21">
        <f t="array" ref="P158">IFERROR(INDEX('Strategy Watchlist'!Q:Q,MATCH($A158,'Strategy Watchlist'!$A:$A,0)),"Not Found")</f>
        <v>2.39</v>
      </c>
      <c r="Q158" s="21">
        <f t="array" ref="Q158">IFERROR(INDEX('Strategy Watchlist'!R:R,MATCH($A158,'Strategy Watchlist'!$A:$A,0)),"Not Found")</f>
        <v>0.38</v>
      </c>
      <c r="R158" s="21">
        <f t="array" ref="R158">IFERROR(INDEX('Strategy Watchlist'!S:S,MATCH($A158,'Strategy Watchlist'!$A:$A,0)),"Not Found")</f>
        <v>1.76</v>
      </c>
      <c r="S158" s="21">
        <f t="array" ref="S158">IFERROR(INDEX('Strategy Watchlist'!T:T,MATCH($A158,'Strategy Watchlist'!$A:$A,0)),"Not Found")</f>
        <v>0.72</v>
      </c>
      <c r="T158" s="21">
        <f t="array" ref="T158">IFERROR(INDEX('Strategy Watchlist'!U:U,MATCH($A158,'Strategy Watchlist'!$A:$A,0)),"Not Found")</f>
        <v>-0.84</v>
      </c>
      <c r="U158" s="21">
        <f t="array" ref="U158">IFERROR(INDEX('Strategy Watchlist'!V:V,MATCH($A158,'Strategy Watchlist'!$A:$A,0)),"Not Found")</f>
        <v>-0.24</v>
      </c>
      <c r="V158" s="21">
        <f t="array" ref="V158">IFERROR(INDEX('Strategy Watchlist'!W:W,MATCH($A158,'Strategy Watchlist'!$A:$A,0)),"Not Found")</f>
        <v>-1.19</v>
      </c>
      <c r="W158" s="21">
        <f t="array" ref="W158">IFERROR(INDEX('Strategy Watchlist'!X:X,MATCH($A158,'Strategy Watchlist'!$A:$A,0)),"Not Found")</f>
        <v>0.18</v>
      </c>
      <c r="X158" s="21">
        <f t="array" ref="X158">IFERROR(INDEX('Strategy Watchlist'!Y:Y,MATCH($A158,'Strategy Watchlist'!$A:$A,0)),"Not Found")</f>
        <v>2.34</v>
      </c>
      <c r="Y158" s="22" t="str">
        <f t="array" ref="Y158">IFERROR(INDEX('Strategy Watchlist'!Z:Z,MATCH($A158,'Strategy Watchlist'!$A:$A,0)),"Not Found")</f>
        <v>https://www.tradingview.com/chart/p2Bvj1LX/</v>
      </c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</row>
    <row r="159" spans="1:119" ht="14.25" customHeight="1" x14ac:dyDescent="0.2">
      <c r="A159" s="17" t="str">
        <f t="shared" si="54"/>
        <v>|APE|precisionTrend|30m</v>
      </c>
      <c r="B159" s="1" t="s">
        <v>28</v>
      </c>
      <c r="C159" s="18">
        <f t="shared" si="55"/>
        <v>0.265263716344666</v>
      </c>
      <c r="D159" s="1"/>
      <c r="E159" s="1" t="s">
        <v>53</v>
      </c>
      <c r="F159" s="1" t="s">
        <v>54</v>
      </c>
      <c r="G159" s="1" t="s">
        <v>38</v>
      </c>
      <c r="H159" s="2">
        <v>60000</v>
      </c>
      <c r="I159" s="2">
        <f t="shared" si="56"/>
        <v>12600</v>
      </c>
      <c r="J159" s="2">
        <v>12200</v>
      </c>
      <c r="K159" s="1">
        <v>600</v>
      </c>
      <c r="L159" s="19">
        <f t="array" ref="L159">IFERROR(INDEX('Strategy Watchlist'!L:L,MATCH($A159,'Strategy Watchlist'!$A:$A,0)),"Not Found")</f>
        <v>4.1660424469413231</v>
      </c>
      <c r="M159" s="12">
        <f t="array" ref="M159">IFERROR(INDEX('Strategy Watchlist'!M:M,MATCH($A159,'Strategy Watchlist'!$A:$A,0)),"Not Found")</f>
        <v>278</v>
      </c>
      <c r="N159" s="20">
        <f t="array" ref="N159">IFERROR(INDEX('Strategy Watchlist'!N:N,MATCH($A159,'Strategy Watchlist'!$A:$A,0)),"Not Found")</f>
        <v>45778</v>
      </c>
      <c r="O159" s="21">
        <f t="array" ref="O159">IFERROR(INDEX('Strategy Watchlist'!P:P,MATCH($A159,'Strategy Watchlist'!$A:$A,0)),"Not Found")</f>
        <v>-0.99</v>
      </c>
      <c r="P159" s="21">
        <f t="array" ref="P159">IFERROR(INDEX('Strategy Watchlist'!Q:Q,MATCH($A159,'Strategy Watchlist'!$A:$A,0)),"Not Found")</f>
        <v>3</v>
      </c>
      <c r="Q159" s="21">
        <f t="array" ref="Q159">IFERROR(INDEX('Strategy Watchlist'!R:R,MATCH($A159,'Strategy Watchlist'!$A:$A,0)),"Not Found")</f>
        <v>1.66</v>
      </c>
      <c r="R159" s="21">
        <f t="array" ref="R159">IFERROR(INDEX('Strategy Watchlist'!S:S,MATCH($A159,'Strategy Watchlist'!$A:$A,0)),"Not Found")</f>
        <v>-2.79</v>
      </c>
      <c r="S159" s="21">
        <f t="array" ref="S159">IFERROR(INDEX('Strategy Watchlist'!T:T,MATCH($A159,'Strategy Watchlist'!$A:$A,0)),"Not Found")</f>
        <v>0.63</v>
      </c>
      <c r="T159" s="21">
        <f t="array" ref="T159">IFERROR(INDEX('Strategy Watchlist'!U:U,MATCH($A159,'Strategy Watchlist'!$A:$A,0)),"Not Found")</f>
        <v>6.17</v>
      </c>
      <c r="U159" s="21">
        <f t="array" ref="U159">IFERROR(INDEX('Strategy Watchlist'!V:V,MATCH($A159,'Strategy Watchlist'!$A:$A,0)),"Not Found")</f>
        <v>3.56</v>
      </c>
      <c r="V159" s="21">
        <f t="array" ref="V159">IFERROR(INDEX('Strategy Watchlist'!W:W,MATCH($A159,'Strategy Watchlist'!$A:$A,0)),"Not Found")</f>
        <v>0.87</v>
      </c>
      <c r="W159" s="21">
        <f t="array" ref="W159">IFERROR(INDEX('Strategy Watchlist'!X:X,MATCH($A159,'Strategy Watchlist'!$A:$A,0)),"Not Found")</f>
        <v>1.73</v>
      </c>
      <c r="X159" s="21">
        <f t="array" ref="X159">IFERROR(INDEX('Strategy Watchlist'!Y:Y,MATCH($A159,'Strategy Watchlist'!$A:$A,0)),"Not Found")</f>
        <v>3.54</v>
      </c>
      <c r="Y159" s="22" t="str">
        <f t="array" ref="Y159">IFERROR(INDEX('Strategy Watchlist'!Z:Z,MATCH($A159,'Strategy Watchlist'!$A:$A,0)),"Not Found")</f>
        <v>https://www.tradingview.com/chart/oDhEAePi/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</row>
    <row r="160" spans="1:119" ht="14.25" customHeight="1" x14ac:dyDescent="0.2">
      <c r="A160" s="17" t="str">
        <f t="shared" si="54"/>
        <v>[b39d1d6e]|PIXEL|WolfnBear|1H</v>
      </c>
      <c r="B160" s="1" t="s">
        <v>28</v>
      </c>
      <c r="C160" s="18">
        <f t="shared" si="55"/>
        <v>0.35368495512622133</v>
      </c>
      <c r="D160" s="58" t="s">
        <v>93</v>
      </c>
      <c r="E160" s="1" t="s">
        <v>94</v>
      </c>
      <c r="F160" s="1" t="s">
        <v>51</v>
      </c>
      <c r="G160" s="1" t="s">
        <v>52</v>
      </c>
      <c r="H160" s="2">
        <v>80000</v>
      </c>
      <c r="I160" s="40">
        <f t="shared" si="56"/>
        <v>16800</v>
      </c>
      <c r="J160" s="2">
        <f t="shared" ref="J160:J162" si="57">I160</f>
        <v>16800</v>
      </c>
      <c r="K160" s="2">
        <v>600</v>
      </c>
      <c r="L160" s="19">
        <f t="array" ref="L160">IFERROR(INDEX('Strategy Watchlist'!L:L,MATCH($A160,'Strategy Watchlist'!$A:$A,0)),"Not Found")</f>
        <v>6.7377398720682304</v>
      </c>
      <c r="M160" s="12">
        <f t="array" ref="M160">IFERROR(INDEX('Strategy Watchlist'!M:M,MATCH($A160,'Strategy Watchlist'!$A:$A,0)),"Not Found")</f>
        <v>124</v>
      </c>
      <c r="N160" s="20">
        <f t="array" ref="N160">IFERROR(INDEX('Strategy Watchlist'!N:N,MATCH($A160,'Strategy Watchlist'!$A:$A,0)),"Not Found")</f>
        <v>45833</v>
      </c>
      <c r="O160" s="21">
        <f t="array" ref="O160">IFERROR(INDEX('Strategy Watchlist'!P:P,MATCH($A160,'Strategy Watchlist'!$A:$A,0)),"Not Found")</f>
        <v>1.78</v>
      </c>
      <c r="P160" s="21">
        <f t="array" ref="P160">IFERROR(INDEX('Strategy Watchlist'!Q:Q,MATCH($A160,'Strategy Watchlist'!$A:$A,0)),"Not Found")</f>
        <v>-0.57999999999999996</v>
      </c>
      <c r="Q160" s="21">
        <f t="array" ref="Q160">IFERROR(INDEX('Strategy Watchlist'!R:R,MATCH($A160,'Strategy Watchlist'!$A:$A,0)),"Not Found")</f>
        <v>2.67</v>
      </c>
      <c r="R160" s="21">
        <f t="array" ref="R160">IFERROR(INDEX('Strategy Watchlist'!S:S,MATCH($A160,'Strategy Watchlist'!$A:$A,0)),"Not Found")</f>
        <v>4.07</v>
      </c>
      <c r="S160" s="21">
        <f t="array" ref="S160">IFERROR(INDEX('Strategy Watchlist'!T:T,MATCH($A160,'Strategy Watchlist'!$A:$A,0)),"Not Found")</f>
        <v>2.2999999999999998</v>
      </c>
      <c r="T160" s="21">
        <f t="array" ref="T160">IFERROR(INDEX('Strategy Watchlist'!U:U,MATCH($A160,'Strategy Watchlist'!$A:$A,0)),"Not Found")</f>
        <v>1.05</v>
      </c>
      <c r="U160" s="21">
        <f t="array" ref="U160">IFERROR(INDEX('Strategy Watchlist'!V:V,MATCH($A160,'Strategy Watchlist'!$A:$A,0)),"Not Found")</f>
        <v>-1.1299999999999999</v>
      </c>
      <c r="V160" s="21">
        <f t="array" ref="V160">IFERROR(INDEX('Strategy Watchlist'!W:W,MATCH($A160,'Strategy Watchlist'!$A:$A,0)),"Not Found")</f>
        <v>0.64</v>
      </c>
      <c r="W160" s="21">
        <f t="array" ref="W160">IFERROR(INDEX('Strategy Watchlist'!X:X,MATCH($A160,'Strategy Watchlist'!$A:$A,0)),"Not Found")</f>
        <v>-0.53</v>
      </c>
      <c r="X160" s="21">
        <f t="array" ref="X160">IFERROR(INDEX('Strategy Watchlist'!Y:Y,MATCH($A160,'Strategy Watchlist'!$A:$A,0)),"Not Found")</f>
        <v>-0.16</v>
      </c>
      <c r="Y160" s="22" t="str">
        <f t="array" ref="Y160">IFERROR(INDEX('Strategy Watchlist'!Z:Z,MATCH($A160,'Strategy Watchlist'!$A:$A,0)),"Not Found")</f>
        <v>https://www.tradingview.com/chart/7HMGQSsJ/</v>
      </c>
      <c r="Z160" s="58"/>
      <c r="AA160" s="58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">
        <v>62</v>
      </c>
      <c r="AV160" s="1" t="s">
        <v>95</v>
      </c>
      <c r="AW160" s="1" t="s">
        <v>94</v>
      </c>
      <c r="AX160" s="1" t="s">
        <v>51</v>
      </c>
      <c r="AY160" s="18">
        <v>8.125</v>
      </c>
      <c r="AZ160" s="4">
        <v>124</v>
      </c>
      <c r="BA160" s="1" t="s">
        <v>52</v>
      </c>
      <c r="BB160" s="76">
        <v>45833</v>
      </c>
      <c r="BC160" s="77">
        <v>-0.09</v>
      </c>
      <c r="BD160" s="77">
        <v>2.89</v>
      </c>
      <c r="BE160" s="77">
        <v>4.46</v>
      </c>
      <c r="BF160" s="77">
        <v>2.52</v>
      </c>
      <c r="BG160" s="77">
        <v>1.25</v>
      </c>
      <c r="BH160" s="77">
        <v>-1.1299999999999999</v>
      </c>
      <c r="BI160" s="77">
        <v>0.64</v>
      </c>
      <c r="BJ160" s="77">
        <v>-0.53</v>
      </c>
      <c r="BK160" s="77">
        <v>-0.16</v>
      </c>
      <c r="BL160" s="1" t="s">
        <v>93</v>
      </c>
      <c r="BM160" s="1" t="s">
        <v>96</v>
      </c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</row>
    <row r="161" spans="1:119" ht="14.25" customHeight="1" x14ac:dyDescent="0.2">
      <c r="A161" s="39" t="str">
        <f t="shared" si="54"/>
        <v>[8a00ecfa]|ADA|JpTrendForce|1H</v>
      </c>
      <c r="B161" s="78" t="s">
        <v>28</v>
      </c>
      <c r="C161" s="18">
        <f t="shared" si="55"/>
        <v>0.132631858172333</v>
      </c>
      <c r="D161" s="3" t="s">
        <v>97</v>
      </c>
      <c r="E161" s="78" t="s">
        <v>98</v>
      </c>
      <c r="F161" s="78" t="s">
        <v>99</v>
      </c>
      <c r="G161" s="78" t="s">
        <v>52</v>
      </c>
      <c r="H161" s="17">
        <v>30000</v>
      </c>
      <c r="I161" s="24">
        <f t="shared" si="56"/>
        <v>6300</v>
      </c>
      <c r="J161" s="24">
        <f t="shared" si="57"/>
        <v>6300</v>
      </c>
      <c r="K161" s="1">
        <v>400</v>
      </c>
      <c r="L161" s="18">
        <f>38.28/5.19</f>
        <v>7.3757225433526008</v>
      </c>
      <c r="M161" s="4">
        <v>160</v>
      </c>
      <c r="N161" s="79">
        <v>45682</v>
      </c>
      <c r="O161" s="3">
        <v>3.77</v>
      </c>
      <c r="P161" s="3">
        <v>-1.61</v>
      </c>
      <c r="Q161" s="3">
        <v>1.35</v>
      </c>
      <c r="R161" s="3">
        <v>2.58</v>
      </c>
      <c r="S161" s="3">
        <v>3.16</v>
      </c>
      <c r="T161" s="3">
        <v>1.52</v>
      </c>
      <c r="U161" s="3">
        <v>-1.1000000000000001</v>
      </c>
      <c r="V161" s="3">
        <v>-1.24</v>
      </c>
      <c r="W161" s="3">
        <v>0</v>
      </c>
      <c r="X161" s="3">
        <v>0</v>
      </c>
      <c r="Y161" s="80" t="s">
        <v>100</v>
      </c>
      <c r="Z161" s="3"/>
      <c r="AA161" s="3"/>
      <c r="AB161" s="3"/>
      <c r="AC161" s="3"/>
      <c r="AD161" s="3"/>
      <c r="AU161" s="39" t="str">
        <f t="shared" ref="AU161:AU162" si="58">AX161&amp;"|"&amp;AY161&amp;"|"&amp;AZ161&amp;"|"&amp;BA161</f>
        <v>[8a00ecfa]|ADA|JpTrendForce|1H</v>
      </c>
      <c r="AV161" s="78" t="s">
        <v>62</v>
      </c>
      <c r="AW161" s="1"/>
      <c r="AX161" s="3" t="s">
        <v>97</v>
      </c>
      <c r="AY161" s="78" t="s">
        <v>98</v>
      </c>
      <c r="AZ161" s="78" t="s">
        <v>99</v>
      </c>
      <c r="BA161" s="78" t="s">
        <v>52</v>
      </c>
      <c r="BB161" s="18"/>
      <c r="BC161" s="18"/>
      <c r="BD161" s="18"/>
      <c r="BE161" s="18"/>
      <c r="BF161" s="18">
        <f>38.28/5.19</f>
        <v>7.3757225433526008</v>
      </c>
      <c r="BG161" s="4">
        <v>160</v>
      </c>
      <c r="BH161" s="79">
        <v>45682</v>
      </c>
      <c r="BI161" s="3">
        <v>3.77</v>
      </c>
      <c r="BJ161" s="3">
        <v>-1.61</v>
      </c>
      <c r="BK161" s="3">
        <v>1.35</v>
      </c>
      <c r="BL161" s="3">
        <v>2.58</v>
      </c>
      <c r="BM161" s="3">
        <v>3.16</v>
      </c>
      <c r="BN161" s="3">
        <v>1.52</v>
      </c>
      <c r="BO161" s="3">
        <v>-1.1000000000000001</v>
      </c>
      <c r="BP161" s="3">
        <v>-1.24</v>
      </c>
      <c r="BQ161" s="3">
        <v>0</v>
      </c>
      <c r="BR161" s="3">
        <v>0</v>
      </c>
      <c r="BS161" s="80" t="s">
        <v>100</v>
      </c>
      <c r="BT161" s="3"/>
      <c r="BU161" s="3"/>
      <c r="BV161" s="3"/>
      <c r="BW161" s="3"/>
      <c r="BX161" s="3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</row>
    <row r="162" spans="1:119" ht="14.25" customHeight="1" x14ac:dyDescent="0.2">
      <c r="A162" s="39" t="str">
        <f t="shared" si="54"/>
        <v>[fbf06b43]|MNT|Trendhoo|37m</v>
      </c>
      <c r="B162" s="42" t="s">
        <v>28</v>
      </c>
      <c r="C162" s="18">
        <f t="shared" si="55"/>
        <v>0.265263716344666</v>
      </c>
      <c r="D162" s="42" t="s">
        <v>101</v>
      </c>
      <c r="E162" s="42" t="s">
        <v>102</v>
      </c>
      <c r="F162" s="42" t="s">
        <v>67</v>
      </c>
      <c r="G162" s="42" t="s">
        <v>103</v>
      </c>
      <c r="H162" s="17">
        <v>60000</v>
      </c>
      <c r="I162" s="24">
        <f t="shared" si="56"/>
        <v>12600</v>
      </c>
      <c r="J162" s="24">
        <f t="shared" si="57"/>
        <v>12600</v>
      </c>
      <c r="K162" s="1">
        <v>550</v>
      </c>
      <c r="L162" s="43">
        <f>106.85/16.15</f>
        <v>6.6160990712074303</v>
      </c>
      <c r="M162" s="44">
        <v>846</v>
      </c>
      <c r="N162" s="81">
        <v>45863</v>
      </c>
      <c r="O162" s="21">
        <v>2.4900000000000002</v>
      </c>
      <c r="P162" s="21">
        <v>6.22</v>
      </c>
      <c r="Q162" s="21">
        <v>2.4</v>
      </c>
      <c r="R162" s="21">
        <v>14.95</v>
      </c>
      <c r="S162" s="21">
        <v>-0.75</v>
      </c>
      <c r="T162" s="21">
        <v>2.1800000000000002</v>
      </c>
      <c r="U162" s="21">
        <v>-6.96</v>
      </c>
      <c r="V162" s="21">
        <v>-0.73</v>
      </c>
      <c r="W162" s="21">
        <v>-1.92</v>
      </c>
      <c r="X162" s="21">
        <v>6.73</v>
      </c>
      <c r="Y162" s="47" t="s">
        <v>104</v>
      </c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39" t="str">
        <f t="shared" si="58"/>
        <v>[fbf06b43]|MNT|Trendhoo|37m</v>
      </c>
      <c r="AV162" s="42" t="s">
        <v>28</v>
      </c>
      <c r="AW162" s="17">
        <v>0.2</v>
      </c>
      <c r="AX162" s="42" t="s">
        <v>101</v>
      </c>
      <c r="AY162" s="42" t="s">
        <v>102</v>
      </c>
      <c r="AZ162" s="42" t="s">
        <v>67</v>
      </c>
      <c r="BA162" s="42" t="s">
        <v>103</v>
      </c>
      <c r="BB162" s="43"/>
      <c r="BC162" s="43"/>
      <c r="BD162" s="43"/>
      <c r="BE162" s="43"/>
      <c r="BF162" s="43">
        <f>106.85/16.15</f>
        <v>6.6160990712074303</v>
      </c>
      <c r="BG162" s="44">
        <v>846</v>
      </c>
      <c r="BH162" s="81">
        <v>45863</v>
      </c>
      <c r="BI162" s="21">
        <v>2.4900000000000002</v>
      </c>
      <c r="BJ162" s="21">
        <v>6.22</v>
      </c>
      <c r="BK162" s="21">
        <v>2.4</v>
      </c>
      <c r="BL162" s="21">
        <v>14.95</v>
      </c>
      <c r="BM162" s="21">
        <v>-0.75</v>
      </c>
      <c r="BN162" s="21">
        <v>2.1800000000000002</v>
      </c>
      <c r="BO162" s="21">
        <v>-6.96</v>
      </c>
      <c r="BP162" s="21">
        <v>-0.73</v>
      </c>
      <c r="BQ162" s="21">
        <v>-1.92</v>
      </c>
      <c r="BR162" s="21">
        <v>6.73</v>
      </c>
      <c r="BS162" s="47" t="s">
        <v>104</v>
      </c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  <c r="CJ162" s="42"/>
      <c r="CK162" s="42"/>
      <c r="CL162" s="42"/>
      <c r="CM162" s="42"/>
      <c r="CN162" s="42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</row>
    <row r="163" spans="1:119" ht="14.25" customHeight="1" x14ac:dyDescent="0.2">
      <c r="A163" s="86" t="str">
        <f t="shared" si="54"/>
        <v>|226190|234000|</v>
      </c>
      <c r="B163" s="86" t="s">
        <v>123</v>
      </c>
      <c r="C163" s="86"/>
      <c r="D163" s="86"/>
      <c r="E163" s="86">
        <f>10*(1389+18000+3230)</f>
        <v>226190</v>
      </c>
      <c r="F163" s="86">
        <v>234000</v>
      </c>
      <c r="G163" s="86"/>
      <c r="H163" s="86"/>
      <c r="I163" s="86"/>
      <c r="J163" s="86"/>
      <c r="K163" s="86"/>
      <c r="L163" s="19"/>
      <c r="M163" s="12"/>
      <c r="N163" s="20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19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</row>
    <row r="164" spans="1:119" ht="14.25" customHeight="1" x14ac:dyDescent="0.2">
      <c r="A164" s="17" t="str">
        <f t="shared" si="54"/>
        <v>[fa32aee4]|LINK|McGinley|45m</v>
      </c>
      <c r="B164" s="23" t="s">
        <v>28</v>
      </c>
      <c r="C164" s="43">
        <f>H164/$E$163</f>
        <v>0.17684247756311067</v>
      </c>
      <c r="D164" s="17" t="s">
        <v>55</v>
      </c>
      <c r="E164" s="17" t="s">
        <v>25</v>
      </c>
      <c r="F164" s="17" t="s">
        <v>47</v>
      </c>
      <c r="G164" s="23" t="s">
        <v>32</v>
      </c>
      <c r="H164" s="24">
        <v>40000</v>
      </c>
      <c r="I164" s="24">
        <f t="shared" ref="I164:I171" si="59">H164*0.21</f>
        <v>8400</v>
      </c>
      <c r="J164" s="24">
        <f>I164</f>
        <v>8400</v>
      </c>
      <c r="K164" s="17">
        <v>400</v>
      </c>
      <c r="L164" s="19">
        <f t="array" ref="L164">IFERROR(INDEX('Strategy Watchlist'!L:L,MATCH($A164,'Strategy Watchlist'!$A:$A,0)),"Not Found")</f>
        <v>16.683760683760685</v>
      </c>
      <c r="M164" s="12">
        <f t="array" ref="M164">IFERROR(INDEX('Strategy Watchlist'!M:M,MATCH($A164,'Strategy Watchlist'!$A:$A,0)),"Not Found")</f>
        <v>176</v>
      </c>
      <c r="N164" s="20">
        <f t="array" ref="N164">IFERROR(INDEX('Strategy Watchlist'!N:N,MATCH($A164,'Strategy Watchlist'!$A:$A,0)),"Not Found")</f>
        <v>45833</v>
      </c>
      <c r="O164" s="21">
        <f t="array" ref="O164">IFERROR(INDEX('Strategy Watchlist'!P:P,MATCH($A164,'Strategy Watchlist'!$A:$A,0)),"Not Found")</f>
        <v>-2.02</v>
      </c>
      <c r="P164" s="21">
        <f t="array" ref="P164">IFERROR(INDEX('Strategy Watchlist'!Q:Q,MATCH($A164,'Strategy Watchlist'!$A:$A,0)),"Not Found")</f>
        <v>0.36</v>
      </c>
      <c r="Q164" s="21">
        <f t="array" ref="Q164">IFERROR(INDEX('Strategy Watchlist'!R:R,MATCH($A164,'Strategy Watchlist'!$A:$A,0)),"Not Found")</f>
        <v>7</v>
      </c>
      <c r="R164" s="21">
        <f t="array" ref="R164">IFERROR(INDEX('Strategy Watchlist'!S:S,MATCH($A164,'Strategy Watchlist'!$A:$A,0)),"Not Found")</f>
        <v>3.76</v>
      </c>
      <c r="S164" s="21">
        <f t="array" ref="S164">IFERROR(INDEX('Strategy Watchlist'!T:T,MATCH($A164,'Strategy Watchlist'!$A:$A,0)),"Not Found")</f>
        <v>2.2200000000000002</v>
      </c>
      <c r="T164" s="21">
        <f t="array" ref="T164">IFERROR(INDEX('Strategy Watchlist'!U:U,MATCH($A164,'Strategy Watchlist'!$A:$A,0)),"Not Found")</f>
        <v>6.68</v>
      </c>
      <c r="U164" s="21">
        <f t="array" ref="U164">IFERROR(INDEX('Strategy Watchlist'!V:V,MATCH($A164,'Strategy Watchlist'!$A:$A,0)),"Not Found")</f>
        <v>-0.14000000000000001</v>
      </c>
      <c r="V164" s="21">
        <f t="array" ref="V164">IFERROR(INDEX('Strategy Watchlist'!W:W,MATCH($A164,'Strategy Watchlist'!$A:$A,0)),"Not Found")</f>
        <v>5.22</v>
      </c>
      <c r="W164" s="21">
        <f t="array" ref="W164">IFERROR(INDEX('Strategy Watchlist'!X:X,MATCH($A164,'Strategy Watchlist'!$A:$A,0)),"Not Found")</f>
        <v>0</v>
      </c>
      <c r="X164" s="21">
        <f t="array" ref="X164">IFERROR(INDEX('Strategy Watchlist'!Y:Y,MATCH($A164,'Strategy Watchlist'!$A:$A,0)),"Not Found")</f>
        <v>0.13</v>
      </c>
      <c r="Y164" s="22" t="str">
        <f t="array" ref="Y164">IFERROR(INDEX('Strategy Watchlist'!Z:Z,MATCH($A164,'Strategy Watchlist'!$A:$A,0)),"Not Found")</f>
        <v>https://www.tradingview.com/chart/CTC73Olh/</v>
      </c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</row>
    <row r="165" spans="1:119" ht="14.25" customHeight="1" x14ac:dyDescent="0.2">
      <c r="A165" s="63" t="str">
        <f t="shared" si="54"/>
        <v>|PePe|T3 Nexus|30m</v>
      </c>
      <c r="B165" s="98" t="s">
        <v>28</v>
      </c>
      <c r="C165" s="88">
        <f t="shared" ref="C165:C171" si="60">H165/$E$149</f>
        <v>0.15915822980679958</v>
      </c>
      <c r="D165" s="98"/>
      <c r="E165" s="98" t="s">
        <v>40</v>
      </c>
      <c r="F165" s="98" t="s">
        <v>82</v>
      </c>
      <c r="G165" s="98" t="s">
        <v>38</v>
      </c>
      <c r="H165" s="67">
        <v>36000</v>
      </c>
      <c r="I165" s="67">
        <f t="shared" si="59"/>
        <v>7560</v>
      </c>
      <c r="J165" s="67">
        <v>9500</v>
      </c>
      <c r="K165" s="98">
        <v>400</v>
      </c>
      <c r="L165" s="66">
        <f t="array" ref="L165">IFERROR(INDEX('Strategy Watchlist'!L:L,MATCH($A165,'Strategy Watchlist'!$A:$A,0)),"Not Found")</f>
        <v>0.82275229357798174</v>
      </c>
      <c r="M165" s="67">
        <f t="array" ref="M165">IFERROR(INDEX('Strategy Watchlist'!M:M,MATCH($A165,'Strategy Watchlist'!$A:$A,0)),"Not Found")</f>
        <v>748</v>
      </c>
      <c r="N165" s="68">
        <f t="array" ref="N165">IFERROR(INDEX('Strategy Watchlist'!N:N,MATCH($A165,'Strategy Watchlist'!$A:$A,0)),"Not Found")</f>
        <v>45662</v>
      </c>
      <c r="O165" s="69">
        <f t="array" ref="O165">IFERROR(INDEX('Strategy Watchlist'!P:P,MATCH($A165,'Strategy Watchlist'!$A:$A,0)),"Not Found")</f>
        <v>-8.9600000000000009</v>
      </c>
      <c r="P165" s="69">
        <f t="array" ref="P165">IFERROR(INDEX('Strategy Watchlist'!Q:Q,MATCH($A165,'Strategy Watchlist'!$A:$A,0)),"Not Found")</f>
        <v>-0.19</v>
      </c>
      <c r="Q165" s="69">
        <f t="array" ref="Q165">IFERROR(INDEX('Strategy Watchlist'!R:R,MATCH($A165,'Strategy Watchlist'!$A:$A,0)),"Not Found")</f>
        <v>6.1</v>
      </c>
      <c r="R165" s="69">
        <f t="array" ref="R165">IFERROR(INDEX('Strategy Watchlist'!S:S,MATCH($A165,'Strategy Watchlist'!$A:$A,0)),"Not Found")</f>
        <v>3.29</v>
      </c>
      <c r="S165" s="69">
        <f t="array" ref="S165">IFERROR(INDEX('Strategy Watchlist'!T:T,MATCH($A165,'Strategy Watchlist'!$A:$A,0)),"Not Found")</f>
        <v>1.47</v>
      </c>
      <c r="T165" s="69">
        <f t="array" ref="T165">IFERROR(INDEX('Strategy Watchlist'!U:U,MATCH($A165,'Strategy Watchlist'!$A:$A,0)),"Not Found")</f>
        <v>6.2</v>
      </c>
      <c r="U165" s="69">
        <f t="array" ref="U165">IFERROR(INDEX('Strategy Watchlist'!V:V,MATCH($A165,'Strategy Watchlist'!$A:$A,0)),"Not Found")</f>
        <v>-4.5</v>
      </c>
      <c r="V165" s="69">
        <f t="array" ref="V165">IFERROR(INDEX('Strategy Watchlist'!W:W,MATCH($A165,'Strategy Watchlist'!$A:$A,0)),"Not Found")</f>
        <v>4.74</v>
      </c>
      <c r="W165" s="69">
        <f t="array" ref="W165">IFERROR(INDEX('Strategy Watchlist'!X:X,MATCH($A165,'Strategy Watchlist'!$A:$A,0)),"Not Found")</f>
        <v>1.1599999999999999</v>
      </c>
      <c r="X165" s="69">
        <f t="array" ref="X165">IFERROR(INDEX('Strategy Watchlist'!Y:Y,MATCH($A165,'Strategy Watchlist'!$A:$A,0)),"Not Found")</f>
        <v>7.62</v>
      </c>
      <c r="Y165" s="70" t="str">
        <f t="array" ref="Y165">IFERROR(INDEX('Strategy Watchlist'!Z:Z,MATCH($A165,'Strategy Watchlist'!$A:$A,0)),"Not Found")</f>
        <v>https://www.tradingview.com/chart/Kj5ZGHdw/</v>
      </c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  <c r="CD165" s="100"/>
      <c r="CE165" s="10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  <c r="CS165" s="100"/>
      <c r="CT165" s="100"/>
      <c r="CU165" s="100"/>
      <c r="CV165" s="100"/>
      <c r="CW165" s="100"/>
      <c r="CX165" s="100"/>
      <c r="CY165" s="100"/>
      <c r="CZ165" s="100"/>
      <c r="DA165" s="100"/>
      <c r="DB165" s="100"/>
      <c r="DC165" s="100"/>
      <c r="DD165" s="100"/>
      <c r="DE165" s="100"/>
      <c r="DF165" s="100"/>
      <c r="DG165" s="100"/>
      <c r="DH165" s="100"/>
      <c r="DI165" s="100"/>
      <c r="DJ165" s="100"/>
      <c r="DK165" s="100"/>
      <c r="DL165" s="100"/>
      <c r="DM165" s="100"/>
      <c r="DN165" s="100"/>
      <c r="DO165" s="100"/>
    </row>
    <row r="166" spans="1:119" ht="14.25" customHeight="1" x14ac:dyDescent="0.2">
      <c r="A166" s="17" t="str">
        <f t="shared" si="54"/>
        <v>[0c4624b7]|SOL|volVangard|30m</v>
      </c>
      <c r="B166" s="23" t="s">
        <v>28</v>
      </c>
      <c r="C166" s="43">
        <f t="shared" si="60"/>
        <v>0.19894778725849949</v>
      </c>
      <c r="D166" s="17" t="s">
        <v>42</v>
      </c>
      <c r="E166" s="17" t="s">
        <v>43</v>
      </c>
      <c r="F166" s="17" t="s">
        <v>44</v>
      </c>
      <c r="G166" s="17" t="s">
        <v>38</v>
      </c>
      <c r="H166" s="24">
        <v>45000</v>
      </c>
      <c r="I166" s="24">
        <f t="shared" si="59"/>
        <v>9450</v>
      </c>
      <c r="J166" s="24">
        <v>9800</v>
      </c>
      <c r="K166" s="17">
        <v>500</v>
      </c>
      <c r="L166" s="19">
        <f t="array" ref="L166">IFERROR(INDEX('Strategy Watchlist'!L:L,MATCH($A166,'Strategy Watchlist'!$A:$A,0)),"Not Found")</f>
        <v>9.533219761499149</v>
      </c>
      <c r="M166" s="12">
        <f t="array" ref="M166">IFERROR(INDEX('Strategy Watchlist'!M:M,MATCH($A166,'Strategy Watchlist'!$A:$A,0)),"Not Found")</f>
        <v>118</v>
      </c>
      <c r="N166" s="20">
        <f t="array" ref="N166">IFERROR(INDEX('Strategy Watchlist'!N:N,MATCH($A166,'Strategy Watchlist'!$A:$A,0)),"Not Found")</f>
        <v>45772</v>
      </c>
      <c r="O166" s="21">
        <f t="array" ref="O166">IFERROR(INDEX('Strategy Watchlist'!P:P,MATCH($A166,'Strategy Watchlist'!$A:$A,0)),"Not Found")</f>
        <v>-0.99</v>
      </c>
      <c r="P166" s="21">
        <f t="array" ref="P166">IFERROR(INDEX('Strategy Watchlist'!Q:Q,MATCH($A166,'Strategy Watchlist'!$A:$A,0)),"Not Found")</f>
        <v>4.09</v>
      </c>
      <c r="Q166" s="21">
        <f t="array" ref="Q166">IFERROR(INDEX('Strategy Watchlist'!R:R,MATCH($A166,'Strategy Watchlist'!$A:$A,0)),"Not Found")</f>
        <v>0.37</v>
      </c>
      <c r="R166" s="21">
        <f t="array" ref="R166">IFERROR(INDEX('Strategy Watchlist'!S:S,MATCH($A166,'Strategy Watchlist'!$A:$A,0)),"Not Found")</f>
        <v>-3.58</v>
      </c>
      <c r="S166" s="21">
        <f t="array" ref="S166">IFERROR(INDEX('Strategy Watchlist'!T:T,MATCH($A166,'Strategy Watchlist'!$A:$A,0)),"Not Found")</f>
        <v>6.51</v>
      </c>
      <c r="T166" s="21">
        <f t="array" ref="T166">IFERROR(INDEX('Strategy Watchlist'!U:U,MATCH($A166,'Strategy Watchlist'!$A:$A,0)),"Not Found")</f>
        <v>-0.43</v>
      </c>
      <c r="U166" s="21">
        <f t="array" ref="U166">IFERROR(INDEX('Strategy Watchlist'!V:V,MATCH($A166,'Strategy Watchlist'!$A:$A,0)),"Not Found")</f>
        <v>5.78</v>
      </c>
      <c r="V166" s="21">
        <f t="array" ref="V166">IFERROR(INDEX('Strategy Watchlist'!W:W,MATCH($A166,'Strategy Watchlist'!$A:$A,0)),"Not Found")</f>
        <v>-0.64</v>
      </c>
      <c r="W166" s="21">
        <f t="array" ref="W166">IFERROR(INDEX('Strategy Watchlist'!X:X,MATCH($A166,'Strategy Watchlist'!$A:$A,0)),"Not Found")</f>
        <v>1.32</v>
      </c>
      <c r="X166" s="21">
        <f t="array" ref="X166">IFERROR(INDEX('Strategy Watchlist'!Y:Y,MATCH($A166,'Strategy Watchlist'!$A:$A,0)),"Not Found")</f>
        <v>0.33</v>
      </c>
      <c r="Y166" s="22" t="str">
        <f t="array" ref="Y166">IFERROR(INDEX('Strategy Watchlist'!Z:Z,MATCH($A166,'Strategy Watchlist'!$A:$A,0)),"Not Found")</f>
        <v>https://www.tradingview.com/chart/tJDJVri5/</v>
      </c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</row>
    <row r="167" spans="1:119" ht="14.25" customHeight="1" x14ac:dyDescent="0.2">
      <c r="A167" s="17" t="str">
        <f t="shared" si="54"/>
        <v>[a9aeb4cc]|ETH|McGinley|90m</v>
      </c>
      <c r="B167" s="23" t="s">
        <v>28</v>
      </c>
      <c r="C167" s="18">
        <f t="shared" si="60"/>
        <v>0.39789557451699897</v>
      </c>
      <c r="D167" s="1" t="s">
        <v>45</v>
      </c>
      <c r="E167" s="1" t="s">
        <v>46</v>
      </c>
      <c r="F167" s="1" t="s">
        <v>47</v>
      </c>
      <c r="G167" s="1" t="s">
        <v>48</v>
      </c>
      <c r="H167" s="2">
        <v>90000</v>
      </c>
      <c r="I167" s="2">
        <f t="shared" si="59"/>
        <v>18900</v>
      </c>
      <c r="J167" s="2">
        <v>19600</v>
      </c>
      <c r="K167" s="1">
        <v>650</v>
      </c>
      <c r="L167" s="19">
        <f t="array" ref="L167">IFERROR(INDEX('Strategy Watchlist'!L:L,MATCH($A167,'Strategy Watchlist'!$A:$A,0)),"Not Found")</f>
        <v>7.4173228346456694</v>
      </c>
      <c r="M167" s="12">
        <f t="array" ref="M167">IFERROR(INDEX('Strategy Watchlist'!M:M,MATCH($A167,'Strategy Watchlist'!$A:$A,0)),"Not Found")</f>
        <v>72</v>
      </c>
      <c r="N167" s="20">
        <f t="array" ref="N167">IFERROR(INDEX('Strategy Watchlist'!N:N,MATCH($A167,'Strategy Watchlist'!$A:$A,0)),"Not Found")</f>
        <v>45772</v>
      </c>
      <c r="O167" s="21">
        <f t="array" ref="O167">IFERROR(INDEX('Strategy Watchlist'!P:P,MATCH($A167,'Strategy Watchlist'!$A:$A,0)),"Not Found")</f>
        <v>-0.43</v>
      </c>
      <c r="P167" s="21">
        <f t="array" ref="P167">IFERROR(INDEX('Strategy Watchlist'!Q:Q,MATCH($A167,'Strategy Watchlist'!$A:$A,0)),"Not Found")</f>
        <v>-0.39</v>
      </c>
      <c r="Q167" s="21">
        <f t="array" ref="Q167">IFERROR(INDEX('Strategy Watchlist'!R:R,MATCH($A167,'Strategy Watchlist'!$A:$A,0)),"Not Found")</f>
        <v>2.4500000000000002</v>
      </c>
      <c r="R167" s="21">
        <f t="array" ref="R167">IFERROR(INDEX('Strategy Watchlist'!S:S,MATCH($A167,'Strategy Watchlist'!$A:$A,0)),"Not Found")</f>
        <v>-0.24</v>
      </c>
      <c r="S167" s="21">
        <f t="array" ref="S167">IFERROR(INDEX('Strategy Watchlist'!T:T,MATCH($A167,'Strategy Watchlist'!$A:$A,0)),"Not Found")</f>
        <v>0.53</v>
      </c>
      <c r="T167" s="21">
        <f t="array" ref="T167">IFERROR(INDEX('Strategy Watchlist'!U:U,MATCH($A167,'Strategy Watchlist'!$A:$A,0)),"Not Found")</f>
        <v>2.38</v>
      </c>
      <c r="U167" s="21">
        <f t="array" ref="U167">IFERROR(INDEX('Strategy Watchlist'!V:V,MATCH($A167,'Strategy Watchlist'!$A:$A,0)),"Not Found")</f>
        <v>0.94</v>
      </c>
      <c r="V167" s="21">
        <f t="array" ref="V167">IFERROR(INDEX('Strategy Watchlist'!W:W,MATCH($A167,'Strategy Watchlist'!$A:$A,0)),"Not Found")</f>
        <v>0</v>
      </c>
      <c r="W167" s="21">
        <f t="array" ref="W167">IFERROR(INDEX('Strategy Watchlist'!X:X,MATCH($A167,'Strategy Watchlist'!$A:$A,0)),"Not Found")</f>
        <v>2.77</v>
      </c>
      <c r="X167" s="21">
        <f t="array" ref="X167">IFERROR(INDEX('Strategy Watchlist'!Y:Y,MATCH($A167,'Strategy Watchlist'!$A:$A,0)),"Not Found")</f>
        <v>-0.13</v>
      </c>
      <c r="Y167" s="22" t="str">
        <f t="array" ref="Y167">IFERROR(INDEX('Strategy Watchlist'!Z:Z,MATCH($A167,'Strategy Watchlist'!$A:$A,0)),"Not Found")</f>
        <v>https://www.tradingview.com/chart/dPRT8fSK/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</row>
    <row r="168" spans="1:119" ht="14.25" customHeight="1" x14ac:dyDescent="0.2">
      <c r="A168" s="17" t="str">
        <f t="shared" si="54"/>
        <v>17.12.2024|ARB|Heiken-Ashi|45m</v>
      </c>
      <c r="B168" s="23" t="s">
        <v>28</v>
      </c>
      <c r="C168" s="18">
        <f t="shared" si="60"/>
        <v>0.25642159246651047</v>
      </c>
      <c r="D168" s="58" t="s">
        <v>81</v>
      </c>
      <c r="E168" s="1" t="s">
        <v>30</v>
      </c>
      <c r="F168" s="1" t="s">
        <v>37</v>
      </c>
      <c r="G168" s="1" t="s">
        <v>32</v>
      </c>
      <c r="H168" s="1">
        <v>58000</v>
      </c>
      <c r="I168" s="2">
        <f t="shared" si="59"/>
        <v>12180</v>
      </c>
      <c r="J168" s="2">
        <v>12300</v>
      </c>
      <c r="K168" s="1">
        <v>450</v>
      </c>
      <c r="L168" s="19">
        <f t="array" ref="L168">IFERROR(INDEX('Strategy Watchlist'!L:L,MATCH($A168,'Strategy Watchlist'!$A:$A,0)),"Not Found")</f>
        <v>12.102857142857143</v>
      </c>
      <c r="M168" s="12">
        <f t="array" ref="M168">IFERROR(INDEX('Strategy Watchlist'!M:M,MATCH($A168,'Strategy Watchlist'!$A:$A,0)),"Not Found")</f>
        <v>294</v>
      </c>
      <c r="N168" s="20">
        <f t="array" ref="N168">IFERROR(INDEX('Strategy Watchlist'!N:N,MATCH($A168,'Strategy Watchlist'!$A:$A,0)),"Not Found")</f>
        <v>45772</v>
      </c>
      <c r="O168" s="21">
        <f t="array" ref="O168">IFERROR(INDEX('Strategy Watchlist'!P:P,MATCH($A168,'Strategy Watchlist'!$A:$A,0)),"Not Found")</f>
        <v>-0.88</v>
      </c>
      <c r="P168" s="21">
        <f t="array" ref="P168">IFERROR(INDEX('Strategy Watchlist'!Q:Q,MATCH($A168,'Strategy Watchlist'!$A:$A,0)),"Not Found")</f>
        <v>0.46</v>
      </c>
      <c r="Q168" s="21">
        <f t="array" ref="Q168">IFERROR(INDEX('Strategy Watchlist'!R:R,MATCH($A168,'Strategy Watchlist'!$A:$A,0)),"Not Found")</f>
        <v>-0.54</v>
      </c>
      <c r="R168" s="21">
        <f t="array" ref="R168">IFERROR(INDEX('Strategy Watchlist'!S:S,MATCH($A168,'Strategy Watchlist'!$A:$A,0)),"Not Found")</f>
        <v>4.43</v>
      </c>
      <c r="S168" s="21">
        <f t="array" ref="S168">IFERROR(INDEX('Strategy Watchlist'!T:T,MATCH($A168,'Strategy Watchlist'!$A:$A,0)),"Not Found")</f>
        <v>-0.26</v>
      </c>
      <c r="T168" s="21">
        <f t="array" ref="T168">IFERROR(INDEX('Strategy Watchlist'!U:U,MATCH($A168,'Strategy Watchlist'!$A:$A,0)),"Not Found")</f>
        <v>0.04</v>
      </c>
      <c r="U168" s="21">
        <f t="array" ref="U168">IFERROR(INDEX('Strategy Watchlist'!V:V,MATCH($A168,'Strategy Watchlist'!$A:$A,0)),"Not Found")</f>
        <v>1.27</v>
      </c>
      <c r="V168" s="21">
        <f t="array" ref="V168">IFERROR(INDEX('Strategy Watchlist'!W:W,MATCH($A168,'Strategy Watchlist'!$A:$A,0)),"Not Found")</f>
        <v>3.69</v>
      </c>
      <c r="W168" s="21">
        <f t="array" ref="W168">IFERROR(INDEX('Strategy Watchlist'!X:X,MATCH($A168,'Strategy Watchlist'!$A:$A,0)),"Not Found")</f>
        <v>-0.27</v>
      </c>
      <c r="X168" s="21">
        <f t="array" ref="X168">IFERROR(INDEX('Strategy Watchlist'!Y:Y,MATCH($A168,'Strategy Watchlist'!$A:$A,0)),"Not Found")</f>
        <v>3.17</v>
      </c>
      <c r="Y168" s="22" t="str">
        <f t="array" ref="Y168">IFERROR(INDEX('Strategy Watchlist'!Z:Z,MATCH($A168,'Strategy Watchlist'!$A:$A,0)),"Not Found")</f>
        <v>https://www.tradingview.com/chart/9cT1VRvW/</v>
      </c>
      <c r="Z168" s="58"/>
      <c r="AA168" s="58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</row>
    <row r="169" spans="1:119" ht="14.25" customHeight="1" x14ac:dyDescent="0.2">
      <c r="A169" s="17" t="str">
        <f t="shared" si="54"/>
        <v>[da58bf67]|NEAR|Trendhoo|30m</v>
      </c>
      <c r="B169" s="23" t="s">
        <v>28</v>
      </c>
      <c r="C169" s="18">
        <f t="shared" si="60"/>
        <v>0.17684247756311067</v>
      </c>
      <c r="D169" s="21" t="s">
        <v>87</v>
      </c>
      <c r="E169" s="42" t="s">
        <v>57</v>
      </c>
      <c r="F169" s="17" t="s">
        <v>67</v>
      </c>
      <c r="G169" s="78" t="s">
        <v>38</v>
      </c>
      <c r="H169" s="1">
        <v>40000</v>
      </c>
      <c r="I169" s="24">
        <f t="shared" si="59"/>
        <v>8400</v>
      </c>
      <c r="J169" s="24">
        <v>9000</v>
      </c>
      <c r="K169" s="24">
        <v>380</v>
      </c>
      <c r="L169" s="19">
        <f t="array" ref="L169">IFERROR(INDEX('Strategy Watchlist'!L:L,MATCH($A169,'Strategy Watchlist'!$A:$A,0)),"Not Found")</f>
        <v>5.9785234899328854</v>
      </c>
      <c r="M169" s="12">
        <f t="array" ref="M169">IFERROR(INDEX('Strategy Watchlist'!M:M,MATCH($A169,'Strategy Watchlist'!$A:$A,0)),"Not Found")</f>
        <v>188</v>
      </c>
      <c r="N169" s="20">
        <f t="array" ref="N169">IFERROR(INDEX('Strategy Watchlist'!N:N,MATCH($A169,'Strategy Watchlist'!$A:$A,0)),"Not Found")</f>
        <v>45802</v>
      </c>
      <c r="O169" s="21">
        <f t="array" ref="O169">IFERROR(INDEX('Strategy Watchlist'!P:P,MATCH($A169,'Strategy Watchlist'!$A:$A,0)),"Not Found")</f>
        <v>0.27</v>
      </c>
      <c r="P169" s="21">
        <f t="array" ref="P169">IFERROR(INDEX('Strategy Watchlist'!Q:Q,MATCH($A169,'Strategy Watchlist'!$A:$A,0)),"Not Found")</f>
        <v>0</v>
      </c>
      <c r="Q169" s="21">
        <f t="array" ref="Q169">IFERROR(INDEX('Strategy Watchlist'!R:R,MATCH($A169,'Strategy Watchlist'!$A:$A,0)),"Not Found")</f>
        <v>4.76</v>
      </c>
      <c r="R169" s="21">
        <f t="array" ref="R169">IFERROR(INDEX('Strategy Watchlist'!S:S,MATCH($A169,'Strategy Watchlist'!$A:$A,0)),"Not Found")</f>
        <v>1.93</v>
      </c>
      <c r="S169" s="21">
        <f t="array" ref="S169">IFERROR(INDEX('Strategy Watchlist'!T:T,MATCH($A169,'Strategy Watchlist'!$A:$A,0)),"Not Found")</f>
        <v>1.34</v>
      </c>
      <c r="T169" s="21">
        <f t="array" ref="T169">IFERROR(INDEX('Strategy Watchlist'!U:U,MATCH($A169,'Strategy Watchlist'!$A:$A,0)),"Not Found")</f>
        <v>2.2999999999999998</v>
      </c>
      <c r="U169" s="21">
        <f t="array" ref="U169">IFERROR(INDEX('Strategy Watchlist'!V:V,MATCH($A169,'Strategy Watchlist'!$A:$A,0)),"Not Found")</f>
        <v>0.08</v>
      </c>
      <c r="V169" s="21">
        <f t="array" ref="V169">IFERROR(INDEX('Strategy Watchlist'!W:W,MATCH($A169,'Strategy Watchlist'!$A:$A,0)),"Not Found")</f>
        <v>1.26</v>
      </c>
      <c r="W169" s="21">
        <f t="array" ref="W169">IFERROR(INDEX('Strategy Watchlist'!X:X,MATCH($A169,'Strategy Watchlist'!$A:$A,0)),"Not Found")</f>
        <v>1.01</v>
      </c>
      <c r="X169" s="21">
        <f t="array" ref="X169">IFERROR(INDEX('Strategy Watchlist'!Y:Y,MATCH($A169,'Strategy Watchlist'!$A:$A,0)),"Not Found")</f>
        <v>5.82</v>
      </c>
      <c r="Y169" s="22" t="str">
        <f t="array" ref="Y169">IFERROR(INDEX('Strategy Watchlist'!Z:Z,MATCH($A169,'Strategy Watchlist'!$A:$A,0)),"Not Found")</f>
        <v>https://www.tradingview.com/chart/CsNPJ40O/</v>
      </c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 t="s">
        <v>62</v>
      </c>
      <c r="AV169" s="42"/>
      <c r="AW169" s="42" t="s">
        <v>57</v>
      </c>
      <c r="AX169" s="17" t="s">
        <v>67</v>
      </c>
      <c r="AY169" s="95">
        <f>44.54/7.45</f>
        <v>5.9785234899328854</v>
      </c>
      <c r="AZ169" s="96">
        <v>188</v>
      </c>
      <c r="BA169" s="78" t="s">
        <v>38</v>
      </c>
      <c r="BB169" s="81">
        <v>45802</v>
      </c>
      <c r="BC169" s="21">
        <v>-0.16</v>
      </c>
      <c r="BD169" s="21">
        <v>4.76</v>
      </c>
      <c r="BE169" s="21">
        <v>1.93</v>
      </c>
      <c r="BF169" s="21">
        <v>1.34</v>
      </c>
      <c r="BG169" s="21">
        <v>2.2999999999999998</v>
      </c>
      <c r="BH169" s="21">
        <v>0.08</v>
      </c>
      <c r="BI169" s="21">
        <v>1.26</v>
      </c>
      <c r="BJ169" s="21">
        <v>1.01</v>
      </c>
      <c r="BK169" s="21">
        <v>5.82</v>
      </c>
      <c r="BL169" s="21" t="s">
        <v>87</v>
      </c>
      <c r="BM169" s="47" t="s">
        <v>88</v>
      </c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</row>
    <row r="170" spans="1:119" x14ac:dyDescent="0.2">
      <c r="A170" s="17" t="str">
        <f t="shared" si="54"/>
        <v>[4a2ddf14]|AAVE|McGlinley|45m</v>
      </c>
      <c r="B170" s="23" t="s">
        <v>28</v>
      </c>
      <c r="C170" s="18">
        <f t="shared" si="60"/>
        <v>0.22105309695388833</v>
      </c>
      <c r="D170" s="42" t="s">
        <v>89</v>
      </c>
      <c r="E170" s="42" t="s">
        <v>90</v>
      </c>
      <c r="F170" s="42" t="s">
        <v>91</v>
      </c>
      <c r="G170" s="42" t="s">
        <v>32</v>
      </c>
      <c r="H170" s="2">
        <v>50000</v>
      </c>
      <c r="I170" s="2">
        <f t="shared" si="59"/>
        <v>10500</v>
      </c>
      <c r="J170" s="2">
        <f t="shared" ref="J170:J171" si="61">I170</f>
        <v>10500</v>
      </c>
      <c r="K170" s="1">
        <v>600</v>
      </c>
      <c r="L170" s="19">
        <f t="array" ref="L170">IFERROR(INDEX('Strategy Watchlist'!L:L,MATCH($A170,'Strategy Watchlist'!$A:$A,0)),"Not Found")</f>
        <v>2.6694915254237288</v>
      </c>
      <c r="M170" s="12">
        <f t="array" ref="M170">IFERROR(INDEX('Strategy Watchlist'!M:M,MATCH($A170,'Strategy Watchlist'!$A:$A,0)),"Not Found")</f>
        <v>317</v>
      </c>
      <c r="N170" s="20">
        <f t="array" ref="N170">IFERROR(INDEX('Strategy Watchlist'!N:N,MATCH($A170,'Strategy Watchlist'!$A:$A,0)),"Not Found")</f>
        <v>45682</v>
      </c>
      <c r="O170" s="21">
        <f t="array" ref="O170">IFERROR(INDEX('Strategy Watchlist'!P:P,MATCH($A170,'Strategy Watchlist'!$A:$A,0)),"Not Found")</f>
        <v>2.66</v>
      </c>
      <c r="P170" s="19">
        <f t="array" ref="P170">IFERROR(INDEX('Strategy Watchlist'!Q:Q,MATCH($A170,'Strategy Watchlist'!$A:$A,0)),"Not Found")</f>
        <v>-0.85</v>
      </c>
      <c r="Q170" s="19">
        <f t="array" ref="Q170">IFERROR(INDEX('Strategy Watchlist'!R:R,MATCH($A170,'Strategy Watchlist'!$A:$A,0)),"Not Found")</f>
        <v>3.55</v>
      </c>
      <c r="R170" s="19">
        <f t="array" ref="R170">IFERROR(INDEX('Strategy Watchlist'!S:S,MATCH($A170,'Strategy Watchlist'!$A:$A,0)),"Not Found")</f>
        <v>1.77</v>
      </c>
      <c r="S170" s="19">
        <f t="array" ref="S170">IFERROR(INDEX('Strategy Watchlist'!T:T,MATCH($A170,'Strategy Watchlist'!$A:$A,0)),"Not Found")</f>
        <v>1.63</v>
      </c>
      <c r="T170" s="19">
        <f t="array" ref="T170">IFERROR(INDEX('Strategy Watchlist'!U:U,MATCH($A170,'Strategy Watchlist'!$A:$A,0)),"Not Found")</f>
        <v>-1.84</v>
      </c>
      <c r="U170" s="19">
        <f t="array" ref="U170">IFERROR(INDEX('Strategy Watchlist'!V:V,MATCH($A170,'Strategy Watchlist'!$A:$A,0)),"Not Found")</f>
        <v>0.2</v>
      </c>
      <c r="V170" s="19">
        <f t="array" ref="V170">IFERROR(INDEX('Strategy Watchlist'!W:W,MATCH($A170,'Strategy Watchlist'!$A:$A,0)),"Not Found")</f>
        <v>-1.49</v>
      </c>
      <c r="W170" s="19">
        <f t="array" ref="W170">IFERROR(INDEX('Strategy Watchlist'!X:X,MATCH($A170,'Strategy Watchlist'!$A:$A,0)),"Not Found")</f>
        <v>0</v>
      </c>
      <c r="X170" s="19">
        <f t="array" ref="X170">IFERROR(INDEX('Strategy Watchlist'!Y:Y,MATCH($A170,'Strategy Watchlist'!$A:$A,0)),"Not Found")</f>
        <v>0.28000000000000003</v>
      </c>
      <c r="Y170" s="22" t="str">
        <f t="array" ref="Y170">IFERROR(INDEX('Strategy Watchlist'!Z:Z,MATCH($A170,'Strategy Watchlist'!$A:$A,0)),"Not Found")</f>
        <v>https://www.tradingview.com/chart/Xt8Libni/</v>
      </c>
    </row>
    <row r="171" spans="1:119" ht="14.25" customHeight="1" x14ac:dyDescent="0.2">
      <c r="A171" s="39" t="str">
        <f t="shared" si="54"/>
        <v>[f2b236fa]|OP|glitchTrend|1H</v>
      </c>
      <c r="B171" s="42" t="s">
        <v>28</v>
      </c>
      <c r="C171" s="18">
        <f t="shared" si="60"/>
        <v>0.22105309695388833</v>
      </c>
      <c r="D171" s="21" t="s">
        <v>59</v>
      </c>
      <c r="E171" s="42" t="s">
        <v>60</v>
      </c>
      <c r="F171" s="42" t="s">
        <v>61</v>
      </c>
      <c r="G171" s="42" t="s">
        <v>52</v>
      </c>
      <c r="H171" s="1">
        <v>50000</v>
      </c>
      <c r="I171" s="2">
        <f t="shared" si="59"/>
        <v>10500</v>
      </c>
      <c r="J171" s="24">
        <f t="shared" si="61"/>
        <v>10500</v>
      </c>
      <c r="K171" s="1">
        <v>600</v>
      </c>
      <c r="L171" s="103">
        <f>57.27/6.84</f>
        <v>8.3728070175438596</v>
      </c>
      <c r="M171" s="44">
        <v>409</v>
      </c>
      <c r="N171" s="81">
        <v>45863</v>
      </c>
      <c r="O171" s="21">
        <f t="array" ref="O171">IFERROR(INDEX('Strategy Watchlist'!P:P,MATCH($A171,'Strategy Watchlist'!$A:$A,0)),"Not Found")</f>
        <v>2.64</v>
      </c>
      <c r="P171" s="21">
        <v>0.13</v>
      </c>
      <c r="Q171" s="21">
        <v>1.69</v>
      </c>
      <c r="R171" s="21">
        <v>6.07</v>
      </c>
      <c r="S171" s="21">
        <v>-3.19</v>
      </c>
      <c r="T171" s="21">
        <v>5.27</v>
      </c>
      <c r="U171" s="21">
        <v>3.43</v>
      </c>
      <c r="V171" s="21">
        <v>2.02</v>
      </c>
      <c r="W171" s="21">
        <v>0.08</v>
      </c>
      <c r="X171" s="21">
        <v>7.85</v>
      </c>
      <c r="Y171" s="47" t="s">
        <v>63</v>
      </c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39" t="str">
        <f>AX171&amp;"|"&amp;AY171&amp;"|"&amp;AZ171&amp;"|"&amp;BA171</f>
        <v>[f2b236fa]|OP|glitchTrend|1H</v>
      </c>
      <c r="AV171" s="42" t="s">
        <v>62</v>
      </c>
      <c r="AW171" s="17"/>
      <c r="AX171" s="21" t="s">
        <v>59</v>
      </c>
      <c r="AY171" s="42" t="s">
        <v>60</v>
      </c>
      <c r="AZ171" s="42" t="s">
        <v>61</v>
      </c>
      <c r="BA171" s="42" t="s">
        <v>52</v>
      </c>
      <c r="BB171" s="103"/>
      <c r="BC171" s="103"/>
      <c r="BD171" s="103"/>
      <c r="BE171" s="103"/>
      <c r="BF171" s="103">
        <f>57.27/6.84</f>
        <v>8.3728070175438596</v>
      </c>
      <c r="BG171" s="44">
        <v>409</v>
      </c>
      <c r="BH171" s="81">
        <v>45863</v>
      </c>
      <c r="BI171" s="21">
        <v>0.5</v>
      </c>
      <c r="BJ171" s="21">
        <v>0.13</v>
      </c>
      <c r="BK171" s="21">
        <v>1.69</v>
      </c>
      <c r="BL171" s="21">
        <v>6.07</v>
      </c>
      <c r="BM171" s="21">
        <v>-3.19</v>
      </c>
      <c r="BN171" s="21">
        <v>5.27</v>
      </c>
      <c r="BO171" s="21">
        <v>3.43</v>
      </c>
      <c r="BP171" s="21">
        <v>2.02</v>
      </c>
      <c r="BQ171" s="21">
        <v>0.08</v>
      </c>
      <c r="BR171" s="21">
        <v>7.85</v>
      </c>
      <c r="BS171" s="47" t="s">
        <v>63</v>
      </c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  <c r="CI171" s="42"/>
      <c r="CJ171" s="42"/>
      <c r="CK171" s="42"/>
      <c r="CL171" s="42"/>
      <c r="CM171" s="42"/>
      <c r="CN171" s="42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</row>
    <row r="172" spans="1:119" ht="14.25" customHeight="1" x14ac:dyDescent="0.2">
      <c r="A172" s="86" t="str">
        <f t="shared" si="54"/>
        <v>|226190||</v>
      </c>
      <c r="B172" s="86" t="s">
        <v>124</v>
      </c>
      <c r="C172" s="86"/>
      <c r="D172" s="86"/>
      <c r="E172" s="86">
        <f>10*(1389+18000+3230)</f>
        <v>226190</v>
      </c>
      <c r="F172" s="86"/>
      <c r="G172" s="86"/>
      <c r="H172" s="86"/>
      <c r="I172" s="86"/>
      <c r="J172" s="86"/>
      <c r="K172" s="86"/>
      <c r="L172" s="86"/>
      <c r="M172" s="86"/>
      <c r="N172" s="20"/>
      <c r="O172" s="21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</row>
    <row r="173" spans="1:119" ht="14.25" customHeight="1" x14ac:dyDescent="0.2">
      <c r="A173" s="39" t="str">
        <f t="shared" si="54"/>
        <v>[1adc9501]|ETH|DeadZone|1H</v>
      </c>
      <c r="B173" s="42" t="s">
        <v>28</v>
      </c>
      <c r="C173" s="62">
        <f t="shared" ref="C173:C174" si="62">H173/$E$172</f>
        <v>0.22105309695388833</v>
      </c>
      <c r="D173" s="42" t="s">
        <v>69</v>
      </c>
      <c r="E173" s="42" t="s">
        <v>46</v>
      </c>
      <c r="F173" s="42" t="s">
        <v>70</v>
      </c>
      <c r="G173" s="42" t="s">
        <v>52</v>
      </c>
      <c r="H173" s="2">
        <v>50000</v>
      </c>
      <c r="I173" s="2">
        <f t="shared" ref="I173:I174" si="63">H173*0.21</f>
        <v>10500</v>
      </c>
      <c r="J173" s="24">
        <f t="shared" ref="J173:J174" si="64">I173</f>
        <v>10500</v>
      </c>
      <c r="K173" s="1">
        <v>550</v>
      </c>
      <c r="L173" s="19">
        <f>33.14/3.94</f>
        <v>8.4111675126903549</v>
      </c>
      <c r="M173" s="12">
        <v>134</v>
      </c>
      <c r="N173" s="45">
        <v>45802</v>
      </c>
      <c r="O173" s="21">
        <f t="array" ref="O173">IFERROR(INDEX('Strategy Watchlist'!P:P,MATCH($A173,'Strategy Watchlist'!$A:$A,0)),"Not Found")</f>
        <v>0.51</v>
      </c>
      <c r="P173" s="21">
        <f t="array" ref="P173">IFERROR(INDEX('Strategy Watchlist'!Q:Q,MATCH($A173,'Strategy Watchlist'!$A:$A,0)),"Not Found")</f>
        <v>0.63</v>
      </c>
      <c r="Q173" s="21">
        <f t="array" ref="Q173">IFERROR(INDEX('Strategy Watchlist'!R:R,MATCH($A173,'Strategy Watchlist'!$A:$A,0)),"Not Found")</f>
        <v>4.53</v>
      </c>
      <c r="R173" s="21">
        <f t="array" ref="R173">IFERROR(INDEX('Strategy Watchlist'!S:S,MATCH($A173,'Strategy Watchlist'!$A:$A,0)),"Not Found")</f>
        <v>3.6</v>
      </c>
      <c r="S173" s="21">
        <f t="array" ref="S173">IFERROR(INDEX('Strategy Watchlist'!T:T,MATCH($A173,'Strategy Watchlist'!$A:$A,0)),"Not Found")</f>
        <v>1.0900000000000001</v>
      </c>
      <c r="T173" s="21">
        <f t="array" ref="T173">IFERROR(INDEX('Strategy Watchlist'!U:U,MATCH($A173,'Strategy Watchlist'!$A:$A,0)),"Not Found")</f>
        <v>2.31</v>
      </c>
      <c r="U173" s="21">
        <f t="array" ref="U173">IFERROR(INDEX('Strategy Watchlist'!V:V,MATCH($A173,'Strategy Watchlist'!$A:$A,0)),"Not Found")</f>
        <v>0.49</v>
      </c>
      <c r="V173" s="21">
        <f t="array" ref="V173">IFERROR(INDEX('Strategy Watchlist'!W:W,MATCH($A173,'Strategy Watchlist'!$A:$A,0)),"Not Found")</f>
        <v>-1.63</v>
      </c>
      <c r="W173" s="21">
        <f t="array" ref="W173">IFERROR(INDEX('Strategy Watchlist'!X:X,MATCH($A173,'Strategy Watchlist'!$A:$A,0)),"Not Found")</f>
        <v>0.27</v>
      </c>
      <c r="X173" s="21">
        <f t="array" ref="X173">IFERROR(INDEX('Strategy Watchlist'!Y:Y,MATCH($A173,'Strategy Watchlist'!$A:$A,0)),"Not Found")</f>
        <v>2.35</v>
      </c>
      <c r="Y173" s="102" t="str">
        <f t="array" ref="Y173">IFERROR(INDEX('Strategy Watchlist'!Z:Z,MATCH($A173,'Strategy Watchlist'!$A:$A,0)),"Not Found")</f>
        <v>https://www.tradingview.com/chart/P8n5vn8V/</v>
      </c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39" t="str">
        <f t="shared" ref="AU173:AU174" si="65">AX173&amp;"|"&amp;AY173&amp;"|"&amp;AZ173&amp;"|"&amp;BA173</f>
        <v>[1adc9501]|ETH|DeadZone|1H</v>
      </c>
      <c r="AV173" s="42" t="s">
        <v>62</v>
      </c>
      <c r="AW173" s="17"/>
      <c r="AX173" s="42" t="s">
        <v>69</v>
      </c>
      <c r="AY173" s="42" t="s">
        <v>46</v>
      </c>
      <c r="AZ173" s="42" t="s">
        <v>70</v>
      </c>
      <c r="BA173" s="42" t="s">
        <v>52</v>
      </c>
      <c r="BB173" s="19"/>
      <c r="BC173" s="19"/>
      <c r="BD173" s="19"/>
      <c r="BE173" s="19"/>
      <c r="BF173" s="19">
        <f>33.14/3.94</f>
        <v>8.4111675126903549</v>
      </c>
      <c r="BG173" s="46">
        <v>134</v>
      </c>
      <c r="BH173" s="45">
        <v>45802</v>
      </c>
      <c r="BI173" s="21">
        <v>1.19</v>
      </c>
      <c r="BJ173" s="21">
        <v>0.63</v>
      </c>
      <c r="BK173" s="21">
        <v>4.53</v>
      </c>
      <c r="BL173" s="21">
        <v>3.6</v>
      </c>
      <c r="BM173" s="21">
        <v>1.0900000000000001</v>
      </c>
      <c r="BN173" s="21">
        <v>2.31</v>
      </c>
      <c r="BO173" s="21">
        <v>0.49</v>
      </c>
      <c r="BP173" s="21">
        <v>-1.63</v>
      </c>
      <c r="BQ173" s="21">
        <v>0.27</v>
      </c>
      <c r="BR173" s="21">
        <v>2.35</v>
      </c>
      <c r="BS173" s="47" t="s">
        <v>71</v>
      </c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</row>
    <row r="174" spans="1:119" ht="14.25" customHeight="1" x14ac:dyDescent="0.2">
      <c r="A174" s="39" t="str">
        <f t="shared" si="54"/>
        <v>[0436a8e8]|SOL|Trendhoo|90m</v>
      </c>
      <c r="B174" s="42" t="s">
        <v>28</v>
      </c>
      <c r="C174" s="62">
        <f t="shared" si="62"/>
        <v>0.22105309695388833</v>
      </c>
      <c r="D174" s="17" t="s">
        <v>66</v>
      </c>
      <c r="E174" s="17" t="s">
        <v>43</v>
      </c>
      <c r="F174" s="17" t="s">
        <v>67</v>
      </c>
      <c r="G174" s="17" t="s">
        <v>48</v>
      </c>
      <c r="H174" s="2">
        <v>50000</v>
      </c>
      <c r="I174" s="2">
        <f t="shared" si="63"/>
        <v>10500</v>
      </c>
      <c r="J174" s="2">
        <f t="shared" si="64"/>
        <v>10500</v>
      </c>
      <c r="K174" s="1">
        <v>200</v>
      </c>
      <c r="L174" s="43">
        <f>20.84/4.13</f>
        <v>5.0460048426150124</v>
      </c>
      <c r="M174" s="12">
        <v>327</v>
      </c>
      <c r="N174" s="45">
        <v>45863</v>
      </c>
      <c r="O174" s="21">
        <f t="array" ref="O174">IFERROR(INDEX('Strategy Watchlist'!P:P,MATCH($A174,'Strategy Watchlist'!$A:$A,0)),"Not Found")</f>
        <v>-0.57999999999999996</v>
      </c>
      <c r="P174" s="21">
        <f t="array" ref="P174">IFERROR(INDEX('Strategy Watchlist'!Q:Q,MATCH($A174,'Strategy Watchlist'!$A:$A,0)),"Not Found")</f>
        <v>2.2999999999999998</v>
      </c>
      <c r="Q174" s="21">
        <f t="array" ref="Q174">IFERROR(INDEX('Strategy Watchlist'!R:R,MATCH($A174,'Strategy Watchlist'!$A:$A,0)),"Not Found")</f>
        <v>0.88</v>
      </c>
      <c r="R174" s="21">
        <f t="array" ref="R174">IFERROR(INDEX('Strategy Watchlist'!S:S,MATCH($A174,'Strategy Watchlist'!$A:$A,0)),"Not Found")</f>
        <v>0.88</v>
      </c>
      <c r="S174" s="21">
        <f t="array" ref="S174">IFERROR(INDEX('Strategy Watchlist'!T:T,MATCH($A174,'Strategy Watchlist'!$A:$A,0)),"Not Found")</f>
        <v>-0.19</v>
      </c>
      <c r="T174" s="21">
        <f t="array" ref="T174">IFERROR(INDEX('Strategy Watchlist'!U:U,MATCH($A174,'Strategy Watchlist'!$A:$A,0)),"Not Found")</f>
        <v>-0.1</v>
      </c>
      <c r="U174" s="21">
        <f t="array" ref="U174">IFERROR(INDEX('Strategy Watchlist'!V:V,MATCH($A174,'Strategy Watchlist'!$A:$A,0)),"Not Found")</f>
        <v>-0.52</v>
      </c>
      <c r="V174" s="21">
        <f t="array" ref="V174">IFERROR(INDEX('Strategy Watchlist'!W:W,MATCH($A174,'Strategy Watchlist'!$A:$A,0)),"Not Found")</f>
        <v>1.1100000000000001</v>
      </c>
      <c r="W174" s="21">
        <f t="array" ref="W174">IFERROR(INDEX('Strategy Watchlist'!X:X,MATCH($A174,'Strategy Watchlist'!$A:$A,0)),"Not Found")</f>
        <v>2.02</v>
      </c>
      <c r="X174" s="21">
        <f t="array" ref="X174">IFERROR(INDEX('Strategy Watchlist'!Y:Y,MATCH($A174,'Strategy Watchlist'!$A:$A,0)),"Not Found")</f>
        <v>2.73</v>
      </c>
      <c r="Y174" s="41" t="s">
        <v>68</v>
      </c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42"/>
      <c r="AN174" s="42"/>
      <c r="AO174" s="42"/>
      <c r="AP174" s="42"/>
      <c r="AQ174" s="42"/>
      <c r="AR174" s="42"/>
      <c r="AS174" s="42"/>
      <c r="AT174" s="42"/>
      <c r="AU174" s="39" t="str">
        <f t="shared" si="65"/>
        <v>[0436a8e8]|SOL|Trendhoo|90m</v>
      </c>
      <c r="AV174" s="17" t="s">
        <v>28</v>
      </c>
      <c r="AW174" s="17">
        <v>0.2</v>
      </c>
      <c r="AX174" s="17" t="s">
        <v>66</v>
      </c>
      <c r="AY174" s="17" t="s">
        <v>43</v>
      </c>
      <c r="AZ174" s="17" t="s">
        <v>67</v>
      </c>
      <c r="BA174" s="17" t="s">
        <v>48</v>
      </c>
      <c r="BB174" s="43"/>
      <c r="BC174" s="43"/>
      <c r="BD174" s="43"/>
      <c r="BE174" s="43"/>
      <c r="BF174" s="43">
        <f>20.84/4.13</f>
        <v>5.0460048426150124</v>
      </c>
      <c r="BG174" s="44">
        <v>327</v>
      </c>
      <c r="BH174" s="45">
        <v>45863</v>
      </c>
      <c r="BI174" s="21">
        <v>0.72</v>
      </c>
      <c r="BJ174" s="21">
        <v>1.94</v>
      </c>
      <c r="BK174" s="21">
        <v>0.74</v>
      </c>
      <c r="BL174" s="21">
        <v>0.74</v>
      </c>
      <c r="BM174" s="21">
        <v>-0.19</v>
      </c>
      <c r="BN174" s="21">
        <v>-0.1</v>
      </c>
      <c r="BO174" s="21">
        <v>-0.52</v>
      </c>
      <c r="BP174" s="21">
        <v>1.1100000000000001</v>
      </c>
      <c r="BQ174" s="21">
        <v>2.02</v>
      </c>
      <c r="BR174" s="21">
        <v>2.73</v>
      </c>
      <c r="BS174" s="41" t="s">
        <v>68</v>
      </c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42"/>
      <c r="CH174" s="42"/>
      <c r="CI174" s="42"/>
      <c r="CJ174" s="42"/>
      <c r="CK174" s="42"/>
      <c r="CL174" s="42"/>
      <c r="CM174" s="42"/>
      <c r="CN174" s="42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</row>
    <row r="175" spans="1:119" ht="14.25" customHeight="1" x14ac:dyDescent="0.2">
      <c r="A175" s="17"/>
      <c r="B175" s="1"/>
      <c r="C175" s="18"/>
      <c r="D175" s="1"/>
      <c r="E175" s="1"/>
      <c r="F175" s="1"/>
      <c r="G175" s="1"/>
      <c r="H175" s="57"/>
      <c r="I175" s="24"/>
      <c r="J175" s="57"/>
      <c r="K175" s="104"/>
      <c r="L175" s="19"/>
      <c r="M175" s="96"/>
      <c r="N175" s="20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</row>
    <row r="176" spans="1:119" ht="14.25" customHeight="1" x14ac:dyDescent="0.2">
      <c r="A176" s="17"/>
      <c r="B176" s="1"/>
      <c r="C176" s="18"/>
      <c r="D176" s="1"/>
      <c r="E176" s="1"/>
      <c r="F176" s="1"/>
      <c r="G176" s="1"/>
      <c r="H176" s="57"/>
      <c r="I176" s="24"/>
      <c r="J176" s="57"/>
      <c r="K176" s="104"/>
      <c r="L176" s="19"/>
      <c r="M176" s="96"/>
      <c r="N176" s="20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</row>
    <row r="177" spans="1:119" ht="14.25" customHeight="1" x14ac:dyDescent="0.2">
      <c r="A177" s="17"/>
      <c r="B177" s="1" t="s">
        <v>121</v>
      </c>
      <c r="C177" s="18"/>
      <c r="D177" s="1"/>
      <c r="E177" s="1"/>
      <c r="F177" s="1"/>
      <c r="G177" s="1"/>
      <c r="H177" s="57"/>
      <c r="I177" s="24"/>
      <c r="J177" s="57"/>
      <c r="K177" s="104"/>
      <c r="L177" s="19"/>
      <c r="M177" s="96"/>
      <c r="N177" s="20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</row>
    <row r="178" spans="1:119" ht="14.25" customHeight="1" x14ac:dyDescent="0.2">
      <c r="A178" s="17"/>
      <c r="B178" s="1"/>
      <c r="C178" s="18"/>
      <c r="D178" s="1"/>
      <c r="E178" s="1"/>
      <c r="F178" s="1"/>
      <c r="G178" s="1"/>
      <c r="H178" s="57"/>
      <c r="I178" s="24"/>
      <c r="J178" s="57"/>
      <c r="K178" s="104"/>
      <c r="L178" s="19"/>
      <c r="M178" s="96"/>
      <c r="N178" s="20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</row>
    <row r="179" spans="1:119" ht="14.25" customHeight="1" x14ac:dyDescent="0.2">
      <c r="A179" s="17" t="str">
        <f>D179&amp;"|"&amp;E179&amp;"|"&amp;F179&amp;"|"&amp;G179</f>
        <v>5x|BTC|DCA|30m</v>
      </c>
      <c r="B179" s="1" t="s">
        <v>28</v>
      </c>
      <c r="C179" s="1"/>
      <c r="D179" s="18" t="s">
        <v>65</v>
      </c>
      <c r="E179" s="1" t="s">
        <v>73</v>
      </c>
      <c r="F179" s="1" t="s">
        <v>105</v>
      </c>
      <c r="G179" s="1" t="s">
        <v>38</v>
      </c>
      <c r="H179" s="2">
        <v>5656</v>
      </c>
      <c r="I179" s="18">
        <v>5</v>
      </c>
      <c r="J179" s="2">
        <f>H179*I179</f>
        <v>28280</v>
      </c>
      <c r="K179" s="1"/>
      <c r="L179" s="19"/>
      <c r="M179" s="24"/>
      <c r="N179" s="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</row>
    <row r="180" spans="1:119" ht="14.25" customHeight="1" x14ac:dyDescent="0.2">
      <c r="A180" s="17"/>
      <c r="B180" s="1"/>
      <c r="C180" s="1"/>
      <c r="D180" s="18"/>
      <c r="E180" s="1"/>
      <c r="F180" s="1"/>
      <c r="G180" s="1"/>
      <c r="H180" s="2"/>
      <c r="I180" s="18"/>
      <c r="J180" s="2"/>
      <c r="K180" s="1"/>
      <c r="L180" s="19"/>
      <c r="M180" s="24"/>
      <c r="N180" s="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</row>
    <row r="181" spans="1:119" ht="14.25" customHeight="1" x14ac:dyDescent="0.2">
      <c r="A181" s="5" t="str">
        <f t="shared" ref="A181:A207" si="66">D181&amp;"|"&amp;E181&amp;"|"&amp;F181&amp;"|"&amp;G181</f>
        <v>|9864.53||</v>
      </c>
      <c r="B181" s="5" t="s">
        <v>125</v>
      </c>
      <c r="C181" s="5"/>
      <c r="D181" s="5"/>
      <c r="E181" s="5">
        <v>9864.5300000000007</v>
      </c>
      <c r="F181" s="5"/>
      <c r="G181" s="5"/>
      <c r="H181" s="5"/>
      <c r="I181" s="6"/>
      <c r="J181" s="6"/>
      <c r="K181" s="5"/>
      <c r="L181" s="6"/>
      <c r="M181" s="5"/>
      <c r="N181" s="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</row>
    <row r="182" spans="1:119" ht="14.25" customHeight="1" x14ac:dyDescent="0.2">
      <c r="A182" s="63" t="str">
        <f t="shared" si="66"/>
        <v>[17ab2738]|ARB|stiff Surge|45m</v>
      </c>
      <c r="B182" s="63" t="s">
        <v>28</v>
      </c>
      <c r="C182" s="63">
        <v>0.4</v>
      </c>
      <c r="D182" s="63" t="s">
        <v>29</v>
      </c>
      <c r="E182" s="63" t="s">
        <v>30</v>
      </c>
      <c r="F182" s="63" t="s">
        <v>31</v>
      </c>
      <c r="G182" s="63" t="s">
        <v>32</v>
      </c>
      <c r="H182" s="65">
        <v>4000</v>
      </c>
      <c r="I182" s="65">
        <f t="shared" ref="I182:I190" si="67">H182*0.21</f>
        <v>840</v>
      </c>
      <c r="J182" s="65">
        <v>1050</v>
      </c>
      <c r="K182" s="63">
        <v>30</v>
      </c>
      <c r="L182" s="66">
        <f t="array" ref="L182">IFERROR(INDEX('Strategy Watchlist'!L:L,MATCH($A182,'Strategy Watchlist'!$A:$A,0)),"Not Found")</f>
        <v>10.965644171779141</v>
      </c>
      <c r="M182" s="67">
        <f t="array" ref="M182">IFERROR(INDEX('Strategy Watchlist'!M:M,MATCH($A182,'Strategy Watchlist'!$A:$A,0)),"Not Found")</f>
        <v>824</v>
      </c>
      <c r="N182" s="68">
        <f t="array" ref="N182">IFERROR(INDEX('Strategy Watchlist'!N:N,MATCH($A182,'Strategy Watchlist'!$A:$A,0)),"Not Found")</f>
        <v>45689</v>
      </c>
      <c r="O182" s="69">
        <f t="array" ref="O182">IFERROR(INDEX('Strategy Watchlist'!P:P,MATCH($A182,'Strategy Watchlist'!$A:$A,0)),"Not Found")</f>
        <v>-1.7</v>
      </c>
      <c r="P182" s="69">
        <f t="array" ref="P182">IFERROR(INDEX('Strategy Watchlist'!Q:Q,MATCH($A182,'Strategy Watchlist'!$A:$A,0)),"Not Found")</f>
        <v>-6.85</v>
      </c>
      <c r="Q182" s="69">
        <f t="array" ref="Q182">IFERROR(INDEX('Strategy Watchlist'!R:R,MATCH($A182,'Strategy Watchlist'!$A:$A,0)),"Not Found")</f>
        <v>1.99</v>
      </c>
      <c r="R182" s="69">
        <f t="array" ref="R182">IFERROR(INDEX('Strategy Watchlist'!S:S,MATCH($A182,'Strategy Watchlist'!$A:$A,0)),"Not Found")</f>
        <v>6.96</v>
      </c>
      <c r="S182" s="69">
        <f t="array" ref="S182">IFERROR(INDEX('Strategy Watchlist'!T:T,MATCH($A182,'Strategy Watchlist'!$A:$A,0)),"Not Found")</f>
        <v>8.0739999999999998</v>
      </c>
      <c r="T182" s="69">
        <f t="array" ref="T182">IFERROR(INDEX('Strategy Watchlist'!U:U,MATCH($A182,'Strategy Watchlist'!$A:$A,0)),"Not Found")</f>
        <v>11.5</v>
      </c>
      <c r="U182" s="69">
        <f t="array" ref="U182">IFERROR(INDEX('Strategy Watchlist'!V:V,MATCH($A182,'Strategy Watchlist'!$A:$A,0)),"Not Found")</f>
        <v>2.75</v>
      </c>
      <c r="V182" s="69">
        <f t="array" ref="V182">IFERROR(INDEX('Strategy Watchlist'!W:W,MATCH($A182,'Strategy Watchlist'!$A:$A,0)),"Not Found")</f>
        <v>2.57</v>
      </c>
      <c r="W182" s="69">
        <f t="array" ref="W182">IFERROR(INDEX('Strategy Watchlist'!X:X,MATCH($A182,'Strategy Watchlist'!$A:$A,0)),"Not Found")</f>
        <v>6.31</v>
      </c>
      <c r="X182" s="69">
        <f t="array" ref="X182">IFERROR(INDEX('Strategy Watchlist'!Y:Y,MATCH($A182,'Strategy Watchlist'!$A:$A,0)),"Not Found")</f>
        <v>7.91</v>
      </c>
      <c r="Y182" s="70" t="str">
        <f t="array" ref="Y182">IFERROR(INDEX('Strategy Watchlist'!Z:Z,MATCH($A182,'Strategy Watchlist'!$A:$A,0)),"Not Found")</f>
        <v>https://www.tradingview.com/chart/EjQUtmuc/</v>
      </c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</row>
    <row r="183" spans="1:119" ht="14.25" customHeight="1" x14ac:dyDescent="0.2">
      <c r="A183" s="17" t="str">
        <f t="shared" si="66"/>
        <v>|DOGE|MACD|45m</v>
      </c>
      <c r="B183" s="17" t="s">
        <v>28</v>
      </c>
      <c r="C183" s="43">
        <f>H183/E181</f>
        <v>0.18247194747240872</v>
      </c>
      <c r="D183" s="17"/>
      <c r="E183" s="17" t="s">
        <v>33</v>
      </c>
      <c r="F183" s="17" t="s">
        <v>34</v>
      </c>
      <c r="G183" s="17" t="s">
        <v>32</v>
      </c>
      <c r="H183" s="24">
        <v>1800</v>
      </c>
      <c r="I183" s="24">
        <f t="shared" si="67"/>
        <v>378</v>
      </c>
      <c r="J183" s="24">
        <v>750</v>
      </c>
      <c r="K183" s="17">
        <v>30</v>
      </c>
      <c r="L183" s="19">
        <f t="array" ref="L183">IFERROR(INDEX('Strategy Watchlist'!L:L,MATCH($A183,'Strategy Watchlist'!$A:$A,0)),"Not Found")</f>
        <v>6.8331771321462043</v>
      </c>
      <c r="M183" s="12">
        <f t="array" ref="M183">IFERROR(INDEX('Strategy Watchlist'!M:M,MATCH($A183,'Strategy Watchlist'!$A:$A,0)),"Not Found")</f>
        <v>147</v>
      </c>
      <c r="N183" s="20">
        <f t="array" ref="N183">IFERROR(INDEX('Strategy Watchlist'!N:N,MATCH($A183,'Strategy Watchlist'!$A:$A,0)),"Not Found")</f>
        <v>45662</v>
      </c>
      <c r="O183" s="21">
        <f t="array" ref="O183">IFERROR(INDEX('Strategy Watchlist'!P:P,MATCH($A183,'Strategy Watchlist'!$A:$A,0)),"Not Found")</f>
        <v>-3.88</v>
      </c>
      <c r="P183" s="21">
        <f t="array" ref="P183">IFERROR(INDEX('Strategy Watchlist'!Q:Q,MATCH($A183,'Strategy Watchlist'!$A:$A,0)),"Not Found")</f>
        <v>5.91</v>
      </c>
      <c r="Q183" s="21">
        <f t="array" ref="Q183">IFERROR(INDEX('Strategy Watchlist'!R:R,MATCH($A183,'Strategy Watchlist'!$A:$A,0)),"Not Found")</f>
        <v>-0.08</v>
      </c>
      <c r="R183" s="21">
        <f t="array" ref="R183">IFERROR(INDEX('Strategy Watchlist'!S:S,MATCH($A183,'Strategy Watchlist'!$A:$A,0)),"Not Found")</f>
        <v>4.72</v>
      </c>
      <c r="S183" s="21">
        <f t="array" ref="S183">IFERROR(INDEX('Strategy Watchlist'!T:T,MATCH($A183,'Strategy Watchlist'!$A:$A,0)),"Not Found")</f>
        <v>8.93</v>
      </c>
      <c r="T183" s="21">
        <f t="array" ref="T183">IFERROR(INDEX('Strategy Watchlist'!U:U,MATCH($A183,'Strategy Watchlist'!$A:$A,0)),"Not Found")</f>
        <v>2.69</v>
      </c>
      <c r="U183" s="21">
        <f t="array" ref="U183">IFERROR(INDEX('Strategy Watchlist'!V:V,MATCH($A183,'Strategy Watchlist'!$A:$A,0)),"Not Found")</f>
        <v>2.04</v>
      </c>
      <c r="V183" s="21">
        <f t="array" ref="V183">IFERROR(INDEX('Strategy Watchlist'!W:W,MATCH($A183,'Strategy Watchlist'!$A:$A,0)),"Not Found")</f>
        <v>5.31</v>
      </c>
      <c r="W183" s="21">
        <f t="array" ref="W183">IFERROR(INDEX('Strategy Watchlist'!X:X,MATCH($A183,'Strategy Watchlist'!$A:$A,0)),"Not Found")</f>
        <v>0.72</v>
      </c>
      <c r="X183" s="21">
        <f t="array" ref="X183">IFERROR(INDEX('Strategy Watchlist'!Y:Y,MATCH($A183,'Strategy Watchlist'!$A:$A,0)),"Not Found")</f>
        <v>3.27</v>
      </c>
      <c r="Y183" s="22" t="str">
        <f t="array" ref="Y183">IFERROR(INDEX('Strategy Watchlist'!Z:Z,MATCH($A183,'Strategy Watchlist'!$A:$A,0)),"Not Found")</f>
        <v>https://www.tradingview.com/chart/Dvd9vGt5/</v>
      </c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</row>
    <row r="184" spans="1:119" ht="14.25" customHeight="1" x14ac:dyDescent="0.2">
      <c r="A184" s="17" t="str">
        <f t="shared" si="66"/>
        <v>[e92283ec]|HBAR|Heiken-Ashi|30m</v>
      </c>
      <c r="B184" s="1" t="s">
        <v>28</v>
      </c>
      <c r="C184" s="1">
        <v>0.25</v>
      </c>
      <c r="D184" s="1" t="s">
        <v>35</v>
      </c>
      <c r="E184" s="1" t="s">
        <v>36</v>
      </c>
      <c r="F184" s="1" t="s">
        <v>37</v>
      </c>
      <c r="G184" s="1" t="s">
        <v>38</v>
      </c>
      <c r="H184" s="2">
        <f t="shared" ref="H184:H185" si="68">C184*10000</f>
        <v>2500</v>
      </c>
      <c r="I184" s="2">
        <f t="shared" si="67"/>
        <v>525</v>
      </c>
      <c r="J184" s="2">
        <v>820</v>
      </c>
      <c r="K184" s="1">
        <v>25</v>
      </c>
      <c r="L184" s="19">
        <f t="array" ref="L184">IFERROR(INDEX('Strategy Watchlist'!L:L,MATCH($A184,'Strategy Watchlist'!$A:$A,0)),"Not Found")</f>
        <v>6.7744000000000009</v>
      </c>
      <c r="M184" s="12">
        <f t="array" ref="M184">IFERROR(INDEX('Strategy Watchlist'!M:M,MATCH($A184,'Strategy Watchlist'!$A:$A,0)),"Not Found")</f>
        <v>224</v>
      </c>
      <c r="N184" s="20">
        <f t="array" ref="N184">IFERROR(INDEX('Strategy Watchlist'!N:N,MATCH($A184,'Strategy Watchlist'!$A:$A,0)),"Not Found")</f>
        <v>45833</v>
      </c>
      <c r="O184" s="21">
        <f t="array" ref="O184">IFERROR(INDEX('Strategy Watchlist'!P:P,MATCH($A184,'Strategy Watchlist'!$A:$A,0)),"Not Found")</f>
        <v>1.01</v>
      </c>
      <c r="P184" s="21">
        <f t="array" ref="P184">IFERROR(INDEX('Strategy Watchlist'!Q:Q,MATCH($A184,'Strategy Watchlist'!$A:$A,0)),"Not Found")</f>
        <v>-1.1499999999999999</v>
      </c>
      <c r="Q184" s="21">
        <f t="array" ref="Q184">IFERROR(INDEX('Strategy Watchlist'!R:R,MATCH($A184,'Strategy Watchlist'!$A:$A,0)),"Not Found")</f>
        <v>0.83</v>
      </c>
      <c r="R184" s="21">
        <f t="array" ref="R184">IFERROR(INDEX('Strategy Watchlist'!S:S,MATCH($A184,'Strategy Watchlist'!$A:$A,0)),"Not Found")</f>
        <v>1.52</v>
      </c>
      <c r="S184" s="21">
        <f t="array" ref="S184">IFERROR(INDEX('Strategy Watchlist'!T:T,MATCH($A184,'Strategy Watchlist'!$A:$A,0)),"Not Found")</f>
        <v>-0.03</v>
      </c>
      <c r="T184" s="21">
        <f t="array" ref="T184">IFERROR(INDEX('Strategy Watchlist'!U:U,MATCH($A184,'Strategy Watchlist'!$A:$A,0)),"Not Found")</f>
        <v>4.38</v>
      </c>
      <c r="U184" s="21">
        <f t="array" ref="U184">IFERROR(INDEX('Strategy Watchlist'!V:V,MATCH($A184,'Strategy Watchlist'!$A:$A,0)),"Not Found")</f>
        <v>1.95</v>
      </c>
      <c r="V184" s="21">
        <f t="array" ref="V184">IFERROR(INDEX('Strategy Watchlist'!W:W,MATCH($A184,'Strategy Watchlist'!$A:$A,0)),"Not Found")</f>
        <v>1.98</v>
      </c>
      <c r="W184" s="21">
        <f t="array" ref="W184">IFERROR(INDEX('Strategy Watchlist'!X:X,MATCH($A184,'Strategy Watchlist'!$A:$A,0)),"Not Found")</f>
        <v>4.59</v>
      </c>
      <c r="X184" s="21">
        <f t="array" ref="X184">IFERROR(INDEX('Strategy Watchlist'!Y:Y,MATCH($A184,'Strategy Watchlist'!$A:$A,0)),"Not Found")</f>
        <v>-1.3</v>
      </c>
      <c r="Y184" s="22" t="str">
        <f t="array" ref="Y184">IFERROR(INDEX('Strategy Watchlist'!Z:Z,MATCH($A184,'Strategy Watchlist'!$A:$A,0)),"Not Found")</f>
        <v>https://www.tradingview.com/chart/ygHXwF84/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</row>
    <row r="185" spans="1:119" ht="14.25" customHeight="1" x14ac:dyDescent="0.2">
      <c r="A185" s="17" t="str">
        <f t="shared" si="66"/>
        <v>[f80d2657]|PePe|JP Trend|30m</v>
      </c>
      <c r="B185" s="1" t="s">
        <v>28</v>
      </c>
      <c r="C185" s="1">
        <v>0.2</v>
      </c>
      <c r="D185" s="1" t="s">
        <v>39</v>
      </c>
      <c r="E185" s="1" t="s">
        <v>40</v>
      </c>
      <c r="F185" s="1" t="s">
        <v>41</v>
      </c>
      <c r="G185" s="1" t="s">
        <v>38</v>
      </c>
      <c r="H185" s="2">
        <f t="shared" si="68"/>
        <v>2000</v>
      </c>
      <c r="I185" s="2">
        <f t="shared" si="67"/>
        <v>420</v>
      </c>
      <c r="J185" s="2">
        <f t="shared" ref="J185:J186" si="69">I185</f>
        <v>420</v>
      </c>
      <c r="K185" s="1">
        <v>20</v>
      </c>
      <c r="L185" s="19">
        <f t="array" ref="L185">IFERROR(INDEX('Strategy Watchlist'!L:L,MATCH($A185,'Strategy Watchlist'!$A:$A,0)),"Not Found")</f>
        <v>11.341645885286782</v>
      </c>
      <c r="M185" s="12">
        <f t="array" ref="M185">IFERROR(INDEX('Strategy Watchlist'!M:M,MATCH($A185,'Strategy Watchlist'!$A:$A,0)),"Not Found")</f>
        <v>302</v>
      </c>
      <c r="N185" s="20">
        <f t="array" ref="N185">IFERROR(INDEX('Strategy Watchlist'!N:N,MATCH($A185,'Strategy Watchlist'!$A:$A,0)),"Not Found")</f>
        <v>45662</v>
      </c>
      <c r="O185" s="21">
        <f t="array" ref="O185">IFERROR(INDEX('Strategy Watchlist'!P:P,MATCH($A185,'Strategy Watchlist'!$A:$A,0)),"Not Found")</f>
        <v>3.05</v>
      </c>
      <c r="P185" s="21">
        <f t="array" ref="P185">IFERROR(INDEX('Strategy Watchlist'!Q:Q,MATCH($A185,'Strategy Watchlist'!$A:$A,0)),"Not Found")</f>
        <v>1.52</v>
      </c>
      <c r="Q185" s="21">
        <f t="array" ref="Q185">IFERROR(INDEX('Strategy Watchlist'!R:R,MATCH($A185,'Strategy Watchlist'!$A:$A,0)),"Not Found")</f>
        <v>-3.15</v>
      </c>
      <c r="R185" s="21">
        <f t="array" ref="R185">IFERROR(INDEX('Strategy Watchlist'!S:S,MATCH($A185,'Strategy Watchlist'!$A:$A,0)),"Not Found")</f>
        <v>2.2999999999999998</v>
      </c>
      <c r="S185" s="21">
        <f t="array" ref="S185">IFERROR(INDEX('Strategy Watchlist'!T:T,MATCH($A185,'Strategy Watchlist'!$A:$A,0)),"Not Found")</f>
        <v>-0.12</v>
      </c>
      <c r="T185" s="21">
        <f t="array" ref="T185">IFERROR(INDEX('Strategy Watchlist'!U:U,MATCH($A185,'Strategy Watchlist'!$A:$A,0)),"Not Found")</f>
        <v>5.69</v>
      </c>
      <c r="U185" s="21">
        <f t="array" ref="U185">IFERROR(INDEX('Strategy Watchlist'!V:V,MATCH($A185,'Strategy Watchlist'!$A:$A,0)),"Not Found")</f>
        <v>-1.33</v>
      </c>
      <c r="V185" s="21">
        <f t="array" ref="V185">IFERROR(INDEX('Strategy Watchlist'!W:W,MATCH($A185,'Strategy Watchlist'!$A:$A,0)),"Not Found")</f>
        <v>2.12</v>
      </c>
      <c r="W185" s="21">
        <f t="array" ref="W185">IFERROR(INDEX('Strategy Watchlist'!X:X,MATCH($A185,'Strategy Watchlist'!$A:$A,0)),"Not Found")</f>
        <v>3.07</v>
      </c>
      <c r="X185" s="21">
        <f t="array" ref="X185">IFERROR(INDEX('Strategy Watchlist'!Y:Y,MATCH($A185,'Strategy Watchlist'!$A:$A,0)),"Not Found")</f>
        <v>3.75</v>
      </c>
      <c r="Y185" s="22" t="str">
        <f t="array" ref="Y185">IFERROR(INDEX('Strategy Watchlist'!Z:Z,MATCH($A185,'Strategy Watchlist'!$A:$A,0)),"Not Found")</f>
        <v>https://www.tradingview.com/chart/uNPZ2spK/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</row>
    <row r="186" spans="1:119" ht="14.25" customHeight="1" x14ac:dyDescent="0.2">
      <c r="A186" s="39" t="str">
        <f t="shared" si="66"/>
        <v>[0436a8e8]|SOL|Trendhoo|90m</v>
      </c>
      <c r="B186" s="17"/>
      <c r="C186" s="17">
        <v>0.2</v>
      </c>
      <c r="D186" s="17" t="s">
        <v>66</v>
      </c>
      <c r="E186" s="17" t="s">
        <v>43</v>
      </c>
      <c r="F186" s="17" t="s">
        <v>67</v>
      </c>
      <c r="G186" s="17" t="s">
        <v>48</v>
      </c>
      <c r="H186" s="2">
        <v>3000</v>
      </c>
      <c r="I186" s="2">
        <f t="shared" si="67"/>
        <v>630</v>
      </c>
      <c r="J186" s="2">
        <f t="shared" si="69"/>
        <v>630</v>
      </c>
      <c r="K186" s="1">
        <v>20</v>
      </c>
      <c r="L186" s="43">
        <f>20.84/4.13</f>
        <v>5.0460048426150124</v>
      </c>
      <c r="M186" s="12">
        <v>327</v>
      </c>
      <c r="N186" s="45">
        <v>45863</v>
      </c>
      <c r="O186" s="21">
        <f t="array" ref="O186">IFERROR(INDEX('Strategy Watchlist'!P:P,MATCH($A186,'Strategy Watchlist'!$A:$A,0)),"Not Found")</f>
        <v>-0.57999999999999996</v>
      </c>
      <c r="P186" s="21">
        <f t="array" ref="P186">IFERROR(INDEX('Strategy Watchlist'!Q:Q,MATCH($A186,'Strategy Watchlist'!$A:$A,0)),"Not Found")</f>
        <v>2.2999999999999998</v>
      </c>
      <c r="Q186" s="21">
        <f t="array" ref="Q186">IFERROR(INDEX('Strategy Watchlist'!R:R,MATCH($A186,'Strategy Watchlist'!$A:$A,0)),"Not Found")</f>
        <v>0.88</v>
      </c>
      <c r="R186" s="21">
        <f t="array" ref="R186">IFERROR(INDEX('Strategy Watchlist'!S:S,MATCH($A186,'Strategy Watchlist'!$A:$A,0)),"Not Found")</f>
        <v>0.88</v>
      </c>
      <c r="S186" s="21">
        <f t="array" ref="S186">IFERROR(INDEX('Strategy Watchlist'!T:T,MATCH($A186,'Strategy Watchlist'!$A:$A,0)),"Not Found")</f>
        <v>-0.19</v>
      </c>
      <c r="T186" s="21">
        <f t="array" ref="T186">IFERROR(INDEX('Strategy Watchlist'!U:U,MATCH($A186,'Strategy Watchlist'!$A:$A,0)),"Not Found")</f>
        <v>-0.1</v>
      </c>
      <c r="U186" s="21">
        <f t="array" ref="U186">IFERROR(INDEX('Strategy Watchlist'!V:V,MATCH($A186,'Strategy Watchlist'!$A:$A,0)),"Not Found")</f>
        <v>-0.52</v>
      </c>
      <c r="V186" s="21">
        <f t="array" ref="V186">IFERROR(INDEX('Strategy Watchlist'!W:W,MATCH($A186,'Strategy Watchlist'!$A:$A,0)),"Not Found")</f>
        <v>1.1100000000000001</v>
      </c>
      <c r="W186" s="21">
        <f t="array" ref="W186">IFERROR(INDEX('Strategy Watchlist'!X:X,MATCH($A186,'Strategy Watchlist'!$A:$A,0)),"Not Found")</f>
        <v>2.02</v>
      </c>
      <c r="X186" s="21">
        <f t="array" ref="X186">IFERROR(INDEX('Strategy Watchlist'!Y:Y,MATCH($A186,'Strategy Watchlist'!$A:$A,0)),"Not Found")</f>
        <v>2.73</v>
      </c>
      <c r="Y186" s="41" t="s">
        <v>68</v>
      </c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42"/>
      <c r="AN186" s="42"/>
      <c r="AO186" s="42"/>
      <c r="AP186" s="42"/>
      <c r="AQ186" s="42"/>
      <c r="AR186" s="42"/>
      <c r="AS186" s="42"/>
      <c r="AT186" s="42"/>
      <c r="AU186" s="39" t="str">
        <f>AX186&amp;"|"&amp;AY186&amp;"|"&amp;AZ186&amp;"|"&amp;BA186</f>
        <v>[0436a8e8]|SOL|Trendhoo|90m</v>
      </c>
      <c r="AV186" s="17" t="s">
        <v>28</v>
      </c>
      <c r="AW186" s="17">
        <v>0.2</v>
      </c>
      <c r="AX186" s="17" t="s">
        <v>66</v>
      </c>
      <c r="AY186" s="17" t="s">
        <v>43</v>
      </c>
      <c r="AZ186" s="17" t="s">
        <v>67</v>
      </c>
      <c r="BA186" s="17" t="s">
        <v>48</v>
      </c>
      <c r="BB186" s="43"/>
      <c r="BC186" s="43"/>
      <c r="BD186" s="43"/>
      <c r="BE186" s="43"/>
      <c r="BF186" s="43">
        <f>20.84/4.13</f>
        <v>5.0460048426150124</v>
      </c>
      <c r="BG186" s="44">
        <v>327</v>
      </c>
      <c r="BH186" s="45">
        <v>45863</v>
      </c>
      <c r="BI186" s="21">
        <v>0.72</v>
      </c>
      <c r="BJ186" s="21">
        <v>1.94</v>
      </c>
      <c r="BK186" s="21">
        <v>0.74</v>
      </c>
      <c r="BL186" s="21">
        <v>0.74</v>
      </c>
      <c r="BM186" s="21">
        <v>-0.19</v>
      </c>
      <c r="BN186" s="21">
        <v>-0.1</v>
      </c>
      <c r="BO186" s="21">
        <v>-0.52</v>
      </c>
      <c r="BP186" s="21">
        <v>1.1100000000000001</v>
      </c>
      <c r="BQ186" s="21">
        <v>2.02</v>
      </c>
      <c r="BR186" s="21">
        <v>2.73</v>
      </c>
      <c r="BS186" s="41" t="s">
        <v>68</v>
      </c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42"/>
      <c r="CH186" s="42"/>
      <c r="CI186" s="42"/>
      <c r="CJ186" s="42"/>
      <c r="CK186" s="42"/>
      <c r="CL186" s="42"/>
      <c r="CM186" s="42"/>
      <c r="CN186" s="42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</row>
    <row r="187" spans="1:119" ht="14.25" customHeight="1" x14ac:dyDescent="0.2">
      <c r="A187" s="17" t="str">
        <f t="shared" si="66"/>
        <v>[a9aeb4cc]|ETH|McGinley|90m</v>
      </c>
      <c r="B187" s="1" t="s">
        <v>28</v>
      </c>
      <c r="C187" s="1">
        <v>0.375</v>
      </c>
      <c r="D187" s="1" t="s">
        <v>45</v>
      </c>
      <c r="E187" s="1" t="s">
        <v>46</v>
      </c>
      <c r="F187" s="1" t="s">
        <v>47</v>
      </c>
      <c r="G187" s="1" t="s">
        <v>48</v>
      </c>
      <c r="H187" s="2">
        <f>C187*10000</f>
        <v>3750</v>
      </c>
      <c r="I187" s="2">
        <f t="shared" si="67"/>
        <v>787.5</v>
      </c>
      <c r="J187" s="2">
        <v>1000</v>
      </c>
      <c r="K187" s="1">
        <v>25</v>
      </c>
      <c r="L187" s="19">
        <f t="array" ref="L187">IFERROR(INDEX('Strategy Watchlist'!L:L,MATCH($A187,'Strategy Watchlist'!$A:$A,0)),"Not Found")</f>
        <v>7.4173228346456694</v>
      </c>
      <c r="M187" s="12">
        <f t="array" ref="M187">IFERROR(INDEX('Strategy Watchlist'!M:M,MATCH($A187,'Strategy Watchlist'!$A:$A,0)),"Not Found")</f>
        <v>72</v>
      </c>
      <c r="N187" s="20">
        <f t="array" ref="N187">IFERROR(INDEX('Strategy Watchlist'!N:N,MATCH($A187,'Strategy Watchlist'!$A:$A,0)),"Not Found")</f>
        <v>45772</v>
      </c>
      <c r="O187" s="21">
        <f t="array" ref="O187">IFERROR(INDEX('Strategy Watchlist'!P:P,MATCH($A187,'Strategy Watchlist'!$A:$A,0)),"Not Found")</f>
        <v>-0.43</v>
      </c>
      <c r="P187" s="21">
        <f t="array" ref="P187">IFERROR(INDEX('Strategy Watchlist'!Q:Q,MATCH($A187,'Strategy Watchlist'!$A:$A,0)),"Not Found")</f>
        <v>-0.39</v>
      </c>
      <c r="Q187" s="21">
        <f t="array" ref="Q187">IFERROR(INDEX('Strategy Watchlist'!R:R,MATCH($A187,'Strategy Watchlist'!$A:$A,0)),"Not Found")</f>
        <v>2.4500000000000002</v>
      </c>
      <c r="R187" s="21">
        <f t="array" ref="R187">IFERROR(INDEX('Strategy Watchlist'!S:S,MATCH($A187,'Strategy Watchlist'!$A:$A,0)),"Not Found")</f>
        <v>-0.24</v>
      </c>
      <c r="S187" s="21">
        <f t="array" ref="S187">IFERROR(INDEX('Strategy Watchlist'!T:T,MATCH($A187,'Strategy Watchlist'!$A:$A,0)),"Not Found")</f>
        <v>0.53</v>
      </c>
      <c r="T187" s="21">
        <f t="array" ref="T187">IFERROR(INDEX('Strategy Watchlist'!U:U,MATCH($A187,'Strategy Watchlist'!$A:$A,0)),"Not Found")</f>
        <v>2.38</v>
      </c>
      <c r="U187" s="21">
        <f t="array" ref="U187">IFERROR(INDEX('Strategy Watchlist'!V:V,MATCH($A187,'Strategy Watchlist'!$A:$A,0)),"Not Found")</f>
        <v>0.94</v>
      </c>
      <c r="V187" s="21">
        <f t="array" ref="V187">IFERROR(INDEX('Strategy Watchlist'!W:W,MATCH($A187,'Strategy Watchlist'!$A:$A,0)),"Not Found")</f>
        <v>0</v>
      </c>
      <c r="W187" s="21">
        <f t="array" ref="W187">IFERROR(INDEX('Strategy Watchlist'!X:X,MATCH($A187,'Strategy Watchlist'!$A:$A,0)),"Not Found")</f>
        <v>2.77</v>
      </c>
      <c r="X187" s="21">
        <f t="array" ref="X187">IFERROR(INDEX('Strategy Watchlist'!Y:Y,MATCH($A187,'Strategy Watchlist'!$A:$A,0)),"Not Found")</f>
        <v>-0.13</v>
      </c>
      <c r="Y187" s="22" t="str">
        <f t="array" ref="Y187">IFERROR(INDEX('Strategy Watchlist'!Z:Z,MATCH($A187,'Strategy Watchlist'!$A:$A,0)),"Not Found")</f>
        <v>https://www.tradingview.com/chart/dPRT8fSK/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</row>
    <row r="188" spans="1:119" ht="14.25" customHeight="1" x14ac:dyDescent="0.2">
      <c r="A188" s="17" t="str">
        <f t="shared" si="66"/>
        <v>[65caeaa0]|ROSE|WolfnBear|1H</v>
      </c>
      <c r="B188" s="1" t="s">
        <v>28</v>
      </c>
      <c r="C188" s="1">
        <f>H188/10000</f>
        <v>0.4</v>
      </c>
      <c r="D188" s="1" t="s">
        <v>49</v>
      </c>
      <c r="E188" s="1" t="s">
        <v>50</v>
      </c>
      <c r="F188" s="1" t="s">
        <v>51</v>
      </c>
      <c r="G188" s="1" t="s">
        <v>52</v>
      </c>
      <c r="H188" s="2">
        <v>4000</v>
      </c>
      <c r="I188" s="2">
        <f t="shared" si="67"/>
        <v>840</v>
      </c>
      <c r="J188" s="2">
        <v>780</v>
      </c>
      <c r="K188" s="1">
        <v>24</v>
      </c>
      <c r="L188" s="19">
        <f t="array" ref="L188">IFERROR(INDEX('Strategy Watchlist'!L:L,MATCH($A188,'Strategy Watchlist'!$A:$A,0)),"Not Found")</f>
        <v>9.1257485029940124</v>
      </c>
      <c r="M188" s="12">
        <f t="array" ref="M188">IFERROR(INDEX('Strategy Watchlist'!M:M,MATCH($A188,'Strategy Watchlist'!$A:$A,0)),"Not Found")</f>
        <v>172</v>
      </c>
      <c r="N188" s="20">
        <f t="array" ref="N188">IFERROR(INDEX('Strategy Watchlist'!N:N,MATCH($A188,'Strategy Watchlist'!$A:$A,0)),"Not Found")</f>
        <v>45682</v>
      </c>
      <c r="O188" s="21">
        <f t="array" ref="O188">IFERROR(INDEX('Strategy Watchlist'!P:P,MATCH($A188,'Strategy Watchlist'!$A:$A,0)),"Not Found")</f>
        <v>1.04</v>
      </c>
      <c r="P188" s="21">
        <f t="array" ref="P188">IFERROR(INDEX('Strategy Watchlist'!Q:Q,MATCH($A188,'Strategy Watchlist'!$A:$A,0)),"Not Found")</f>
        <v>2.39</v>
      </c>
      <c r="Q188" s="21">
        <f t="array" ref="Q188">IFERROR(INDEX('Strategy Watchlist'!R:R,MATCH($A188,'Strategy Watchlist'!$A:$A,0)),"Not Found")</f>
        <v>0.38</v>
      </c>
      <c r="R188" s="21">
        <f t="array" ref="R188">IFERROR(INDEX('Strategy Watchlist'!S:S,MATCH($A188,'Strategy Watchlist'!$A:$A,0)),"Not Found")</f>
        <v>1.76</v>
      </c>
      <c r="S188" s="21">
        <f t="array" ref="S188">IFERROR(INDEX('Strategy Watchlist'!T:T,MATCH($A188,'Strategy Watchlist'!$A:$A,0)),"Not Found")</f>
        <v>0.72</v>
      </c>
      <c r="T188" s="21">
        <f t="array" ref="T188">IFERROR(INDEX('Strategy Watchlist'!U:U,MATCH($A188,'Strategy Watchlist'!$A:$A,0)),"Not Found")</f>
        <v>-0.84</v>
      </c>
      <c r="U188" s="21">
        <f t="array" ref="U188">IFERROR(INDEX('Strategy Watchlist'!V:V,MATCH($A188,'Strategy Watchlist'!$A:$A,0)),"Not Found")</f>
        <v>-0.24</v>
      </c>
      <c r="V188" s="21">
        <f t="array" ref="V188">IFERROR(INDEX('Strategy Watchlist'!W:W,MATCH($A188,'Strategy Watchlist'!$A:$A,0)),"Not Found")</f>
        <v>-1.19</v>
      </c>
      <c r="W188" s="21">
        <f t="array" ref="W188">IFERROR(INDEX('Strategy Watchlist'!X:X,MATCH($A188,'Strategy Watchlist'!$A:$A,0)),"Not Found")</f>
        <v>0.18</v>
      </c>
      <c r="X188" s="21">
        <f t="array" ref="X188">IFERROR(INDEX('Strategy Watchlist'!Y:Y,MATCH($A188,'Strategy Watchlist'!$A:$A,0)),"Not Found")</f>
        <v>2.34</v>
      </c>
      <c r="Y188" s="22" t="str">
        <f t="array" ref="Y188">IFERROR(INDEX('Strategy Watchlist'!Z:Z,MATCH($A188,'Strategy Watchlist'!$A:$A,0)),"Not Found")</f>
        <v>https://www.tradingview.com/chart/p2Bvj1LX/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</row>
    <row r="189" spans="1:119" ht="14.25" customHeight="1" x14ac:dyDescent="0.2">
      <c r="A189" s="17" t="str">
        <f t="shared" si="66"/>
        <v>|APE|precisionTrend|30m</v>
      </c>
      <c r="B189" s="1" t="s">
        <v>28</v>
      </c>
      <c r="C189" s="1">
        <v>0.3</v>
      </c>
      <c r="D189" s="1"/>
      <c r="E189" s="1" t="s">
        <v>53</v>
      </c>
      <c r="F189" s="1" t="s">
        <v>54</v>
      </c>
      <c r="G189" s="1" t="s">
        <v>38</v>
      </c>
      <c r="H189" s="2">
        <v>3000</v>
      </c>
      <c r="I189" s="2">
        <f t="shared" si="67"/>
        <v>630</v>
      </c>
      <c r="J189" s="2">
        <v>660</v>
      </c>
      <c r="K189" s="1">
        <v>20</v>
      </c>
      <c r="L189" s="19">
        <f t="array" ref="L189">IFERROR(INDEX('Strategy Watchlist'!L:L,MATCH($A189,'Strategy Watchlist'!$A:$A,0)),"Not Found")</f>
        <v>4.1660424469413231</v>
      </c>
      <c r="M189" s="12">
        <f t="array" ref="M189">IFERROR(INDEX('Strategy Watchlist'!M:M,MATCH($A189,'Strategy Watchlist'!$A:$A,0)),"Not Found")</f>
        <v>278</v>
      </c>
      <c r="N189" s="20">
        <f t="array" ref="N189">IFERROR(INDEX('Strategy Watchlist'!N:N,MATCH($A189,'Strategy Watchlist'!$A:$A,0)),"Not Found")</f>
        <v>45778</v>
      </c>
      <c r="O189" s="21">
        <f t="array" ref="O189">IFERROR(INDEX('Strategy Watchlist'!P:P,MATCH($A189,'Strategy Watchlist'!$A:$A,0)),"Not Found")</f>
        <v>-0.99</v>
      </c>
      <c r="P189" s="21">
        <f t="array" ref="P189">IFERROR(INDEX('Strategy Watchlist'!Q:Q,MATCH($A189,'Strategy Watchlist'!$A:$A,0)),"Not Found")</f>
        <v>3</v>
      </c>
      <c r="Q189" s="21">
        <f t="array" ref="Q189">IFERROR(INDEX('Strategy Watchlist'!R:R,MATCH($A189,'Strategy Watchlist'!$A:$A,0)),"Not Found")</f>
        <v>1.66</v>
      </c>
      <c r="R189" s="21">
        <f t="array" ref="R189">IFERROR(INDEX('Strategy Watchlist'!S:S,MATCH($A189,'Strategy Watchlist'!$A:$A,0)),"Not Found")</f>
        <v>-2.79</v>
      </c>
      <c r="S189" s="21">
        <f t="array" ref="S189">IFERROR(INDEX('Strategy Watchlist'!T:T,MATCH($A189,'Strategy Watchlist'!$A:$A,0)),"Not Found")</f>
        <v>0.63</v>
      </c>
      <c r="T189" s="21">
        <f t="array" ref="T189">IFERROR(INDEX('Strategy Watchlist'!U:U,MATCH($A189,'Strategy Watchlist'!$A:$A,0)),"Not Found")</f>
        <v>6.17</v>
      </c>
      <c r="U189" s="21">
        <f t="array" ref="U189">IFERROR(INDEX('Strategy Watchlist'!V:V,MATCH($A189,'Strategy Watchlist'!$A:$A,0)),"Not Found")</f>
        <v>3.56</v>
      </c>
      <c r="V189" s="21">
        <f t="array" ref="V189">IFERROR(INDEX('Strategy Watchlist'!W:W,MATCH($A189,'Strategy Watchlist'!$A:$A,0)),"Not Found")</f>
        <v>0.87</v>
      </c>
      <c r="W189" s="21">
        <f t="array" ref="W189">IFERROR(INDEX('Strategy Watchlist'!X:X,MATCH($A189,'Strategy Watchlist'!$A:$A,0)),"Not Found")</f>
        <v>1.73</v>
      </c>
      <c r="X189" s="21">
        <f t="array" ref="X189">IFERROR(INDEX('Strategy Watchlist'!Y:Y,MATCH($A189,'Strategy Watchlist'!$A:$A,0)),"Not Found")</f>
        <v>3.54</v>
      </c>
      <c r="Y189" s="22" t="str">
        <f t="array" ref="Y189">IFERROR(INDEX('Strategy Watchlist'!Z:Z,MATCH($A189,'Strategy Watchlist'!$A:$A,0)),"Not Found")</f>
        <v>https://www.tradingview.com/chart/oDhEAePi/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</row>
    <row r="190" spans="1:119" ht="14.25" customHeight="1" x14ac:dyDescent="0.2">
      <c r="A190" s="17" t="str">
        <f t="shared" si="66"/>
        <v>[fa32aee4]|LINK|McGinley|45m</v>
      </c>
      <c r="B190" s="23" t="s">
        <v>28</v>
      </c>
      <c r="C190" s="43">
        <f t="shared" ref="C190:C194" si="70">H190/10000</f>
        <v>0.3</v>
      </c>
      <c r="D190" s="17" t="s">
        <v>55</v>
      </c>
      <c r="E190" s="17" t="s">
        <v>25</v>
      </c>
      <c r="F190" s="17" t="s">
        <v>47</v>
      </c>
      <c r="G190" s="23" t="s">
        <v>32</v>
      </c>
      <c r="H190" s="24">
        <v>3000</v>
      </c>
      <c r="I190" s="24">
        <f t="shared" si="67"/>
        <v>630</v>
      </c>
      <c r="J190" s="24">
        <v>750</v>
      </c>
      <c r="K190" s="17">
        <v>26</v>
      </c>
      <c r="L190" s="19">
        <f t="array" ref="L190">IFERROR(INDEX('Strategy Watchlist'!L:L,MATCH($A190,'Strategy Watchlist'!$A:$A,0)),"Not Found")</f>
        <v>16.683760683760685</v>
      </c>
      <c r="M190" s="12">
        <f t="array" ref="M190">IFERROR(INDEX('Strategy Watchlist'!M:M,MATCH($A190,'Strategy Watchlist'!$A:$A,0)),"Not Found")</f>
        <v>176</v>
      </c>
      <c r="N190" s="20">
        <f t="array" ref="N190">IFERROR(INDEX('Strategy Watchlist'!N:N,MATCH($A190,'Strategy Watchlist'!$A:$A,0)),"Not Found")</f>
        <v>45833</v>
      </c>
      <c r="O190" s="21">
        <f t="array" ref="O190">IFERROR(INDEX('Strategy Watchlist'!P:P,MATCH($A190,'Strategy Watchlist'!$A:$A,0)),"Not Found")</f>
        <v>-2.02</v>
      </c>
      <c r="P190" s="21">
        <f t="array" ref="P190">IFERROR(INDEX('Strategy Watchlist'!Q:Q,MATCH($A190,'Strategy Watchlist'!$A:$A,0)),"Not Found")</f>
        <v>0.36</v>
      </c>
      <c r="Q190" s="21">
        <f t="array" ref="Q190">IFERROR(INDEX('Strategy Watchlist'!R:R,MATCH($A190,'Strategy Watchlist'!$A:$A,0)),"Not Found")</f>
        <v>7</v>
      </c>
      <c r="R190" s="21">
        <f t="array" ref="R190">IFERROR(INDEX('Strategy Watchlist'!S:S,MATCH($A190,'Strategy Watchlist'!$A:$A,0)),"Not Found")</f>
        <v>3.76</v>
      </c>
      <c r="S190" s="21">
        <f t="array" ref="S190">IFERROR(INDEX('Strategy Watchlist'!T:T,MATCH($A190,'Strategy Watchlist'!$A:$A,0)),"Not Found")</f>
        <v>2.2200000000000002</v>
      </c>
      <c r="T190" s="21">
        <f t="array" ref="T190">IFERROR(INDEX('Strategy Watchlist'!U:U,MATCH($A190,'Strategy Watchlist'!$A:$A,0)),"Not Found")</f>
        <v>6.68</v>
      </c>
      <c r="U190" s="21">
        <f t="array" ref="U190">IFERROR(INDEX('Strategy Watchlist'!V:V,MATCH($A190,'Strategy Watchlist'!$A:$A,0)),"Not Found")</f>
        <v>-0.14000000000000001</v>
      </c>
      <c r="V190" s="21">
        <f t="array" ref="V190">IFERROR(INDEX('Strategy Watchlist'!W:W,MATCH($A190,'Strategy Watchlist'!$A:$A,0)),"Not Found")</f>
        <v>5.22</v>
      </c>
      <c r="W190" s="21">
        <f t="array" ref="W190">IFERROR(INDEX('Strategy Watchlist'!X:X,MATCH($A190,'Strategy Watchlist'!$A:$A,0)),"Not Found")</f>
        <v>0</v>
      </c>
      <c r="X190" s="21">
        <f t="array" ref="X190">IFERROR(INDEX('Strategy Watchlist'!Y:Y,MATCH($A190,'Strategy Watchlist'!$A:$A,0)),"Not Found")</f>
        <v>0.13</v>
      </c>
      <c r="Y190" s="22" t="str">
        <f t="array" ref="Y190">IFERROR(INDEX('Strategy Watchlist'!Z:Z,MATCH($A190,'Strategy Watchlist'!$A:$A,0)),"Not Found")</f>
        <v>https://www.tradingview.com/chart/CTC73Olh/</v>
      </c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</row>
    <row r="191" spans="1:119" ht="14.25" customHeight="1" x14ac:dyDescent="0.2">
      <c r="A191" s="17" t="str">
        <f t="shared" si="66"/>
        <v>[3111f1fd]|NEAR|Stiff Surge|1H</v>
      </c>
      <c r="B191" s="1" t="s">
        <v>28</v>
      </c>
      <c r="C191" s="43">
        <f t="shared" si="70"/>
        <v>0.2</v>
      </c>
      <c r="D191" s="1" t="s">
        <v>56</v>
      </c>
      <c r="E191" s="1" t="s">
        <v>57</v>
      </c>
      <c r="F191" s="1" t="s">
        <v>58</v>
      </c>
      <c r="G191" s="1" t="s">
        <v>52</v>
      </c>
      <c r="H191" s="2">
        <v>2000</v>
      </c>
      <c r="I191" s="2">
        <v>420</v>
      </c>
      <c r="J191" s="2">
        <v>774.82</v>
      </c>
      <c r="K191" s="1">
        <v>20</v>
      </c>
      <c r="L191" s="19">
        <f t="array" ref="L191">IFERROR(INDEX('Strategy Watchlist'!L:L,MATCH($A191,'Strategy Watchlist'!$A:$A,0)),"Not Found")</f>
        <v>3.1660516605166054</v>
      </c>
      <c r="M191" s="12">
        <f t="array" ref="M191">IFERROR(INDEX('Strategy Watchlist'!M:M,MATCH($A191,'Strategy Watchlist'!$A:$A,0)),"Not Found")</f>
        <v>237</v>
      </c>
      <c r="N191" s="20">
        <f t="array" ref="N191">IFERROR(INDEX('Strategy Watchlist'!N:N,MATCH($A191,'Strategy Watchlist'!$A:$A,0)),"Not Found")</f>
        <v>45717</v>
      </c>
      <c r="O191" s="21">
        <f t="array" ref="O191">IFERROR(INDEX('Strategy Watchlist'!P:P,MATCH($A191,'Strategy Watchlist'!$A:$A,0)),"Not Found")</f>
        <v>-1.39</v>
      </c>
      <c r="P191" s="21">
        <f t="array" ref="P191">IFERROR(INDEX('Strategy Watchlist'!Q:Q,MATCH($A191,'Strategy Watchlist'!$A:$A,0)),"Not Found")</f>
        <v>0.56000000000000005</v>
      </c>
      <c r="Q191" s="21">
        <f t="array" ref="Q191">IFERROR(INDEX('Strategy Watchlist'!R:R,MATCH($A191,'Strategy Watchlist'!$A:$A,0)),"Not Found")</f>
        <v>-0.43</v>
      </c>
      <c r="R191" s="21">
        <f t="array" ref="R191">IFERROR(INDEX('Strategy Watchlist'!S:S,MATCH($A191,'Strategy Watchlist'!$A:$A,0)),"Not Found")</f>
        <v>-0.45</v>
      </c>
      <c r="S191" s="21">
        <f t="array" ref="S191">IFERROR(INDEX('Strategy Watchlist'!T:T,MATCH($A191,'Strategy Watchlist'!$A:$A,0)),"Not Found")</f>
        <v>4.99</v>
      </c>
      <c r="T191" s="21">
        <f t="array" ref="T191">IFERROR(INDEX('Strategy Watchlist'!U:U,MATCH($A191,'Strategy Watchlist'!$A:$A,0)),"Not Found")</f>
        <v>4.37</v>
      </c>
      <c r="U191" s="21">
        <f t="array" ref="U191">IFERROR(INDEX('Strategy Watchlist'!V:V,MATCH($A191,'Strategy Watchlist'!$A:$A,0)),"Not Found")</f>
        <v>-1.47</v>
      </c>
      <c r="V191" s="21">
        <f t="array" ref="V191">IFERROR(INDEX('Strategy Watchlist'!W:W,MATCH($A191,'Strategy Watchlist'!$A:$A,0)),"Not Found")</f>
        <v>1.85</v>
      </c>
      <c r="W191" s="21">
        <f t="array" ref="W191">IFERROR(INDEX('Strategy Watchlist'!X:X,MATCH($A191,'Strategy Watchlist'!$A:$A,0)),"Not Found")</f>
        <v>-0.11</v>
      </c>
      <c r="X191" s="21">
        <f t="array" ref="X191">IFERROR(INDEX('Strategy Watchlist'!Y:Y,MATCH($A191,'Strategy Watchlist'!$A:$A,0)),"Not Found")</f>
        <v>1.53</v>
      </c>
      <c r="Y191" s="22" t="str">
        <f t="array" ref="Y191">IFERROR(INDEX('Strategy Watchlist'!Z:Z,MATCH($A191,'Strategy Watchlist'!$A:$A,0)),"Not Found")</f>
        <v>https://www.tradingview.com/chart/Q9MeKvVC/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</row>
    <row r="192" spans="1:119" ht="14.25" customHeight="1" x14ac:dyDescent="0.2">
      <c r="A192" s="17" t="str">
        <f t="shared" si="66"/>
        <v>[b39d1d6e]|PIXEL|WolfnBear|1H</v>
      </c>
      <c r="B192" s="1" t="s">
        <v>28</v>
      </c>
      <c r="C192" s="43">
        <f t="shared" si="70"/>
        <v>0.4</v>
      </c>
      <c r="D192" s="58" t="s">
        <v>93</v>
      </c>
      <c r="E192" s="1" t="s">
        <v>94</v>
      </c>
      <c r="F192" s="1" t="s">
        <v>51</v>
      </c>
      <c r="G192" s="1" t="s">
        <v>52</v>
      </c>
      <c r="H192" s="2">
        <v>4000</v>
      </c>
      <c r="I192" s="40">
        <f t="shared" ref="I192:I194" si="71">H192*0.21</f>
        <v>840</v>
      </c>
      <c r="J192" s="2">
        <f t="shared" ref="J192:J194" si="72">I192</f>
        <v>840</v>
      </c>
      <c r="K192" s="2">
        <v>28</v>
      </c>
      <c r="L192" s="19">
        <f t="array" ref="L192">IFERROR(INDEX('Strategy Watchlist'!L:L,MATCH($A192,'Strategy Watchlist'!$A:$A,0)),"Not Found")</f>
        <v>6.7377398720682304</v>
      </c>
      <c r="M192" s="12">
        <f t="array" ref="M192">IFERROR(INDEX('Strategy Watchlist'!M:M,MATCH($A192,'Strategy Watchlist'!$A:$A,0)),"Not Found")</f>
        <v>124</v>
      </c>
      <c r="N192" s="20">
        <f t="array" ref="N192">IFERROR(INDEX('Strategy Watchlist'!N:N,MATCH($A192,'Strategy Watchlist'!$A:$A,0)),"Not Found")</f>
        <v>45833</v>
      </c>
      <c r="O192" s="21">
        <f t="array" ref="O192">IFERROR(INDEX('Strategy Watchlist'!P:P,MATCH($A192,'Strategy Watchlist'!$A:$A,0)),"Not Found")</f>
        <v>1.78</v>
      </c>
      <c r="P192" s="21">
        <f t="array" ref="P192">IFERROR(INDEX('Strategy Watchlist'!Q:Q,MATCH($A192,'Strategy Watchlist'!$A:$A,0)),"Not Found")</f>
        <v>-0.57999999999999996</v>
      </c>
      <c r="Q192" s="21">
        <f t="array" ref="Q192">IFERROR(INDEX('Strategy Watchlist'!R:R,MATCH($A192,'Strategy Watchlist'!$A:$A,0)),"Not Found")</f>
        <v>2.67</v>
      </c>
      <c r="R192" s="21">
        <f t="array" ref="R192">IFERROR(INDEX('Strategy Watchlist'!S:S,MATCH($A192,'Strategy Watchlist'!$A:$A,0)),"Not Found")</f>
        <v>4.07</v>
      </c>
      <c r="S192" s="21">
        <f t="array" ref="S192">IFERROR(INDEX('Strategy Watchlist'!T:T,MATCH($A192,'Strategy Watchlist'!$A:$A,0)),"Not Found")</f>
        <v>2.2999999999999998</v>
      </c>
      <c r="T192" s="21">
        <f t="array" ref="T192">IFERROR(INDEX('Strategy Watchlist'!U:U,MATCH($A192,'Strategy Watchlist'!$A:$A,0)),"Not Found")</f>
        <v>1.05</v>
      </c>
      <c r="U192" s="21">
        <f t="array" ref="U192">IFERROR(INDEX('Strategy Watchlist'!V:V,MATCH($A192,'Strategy Watchlist'!$A:$A,0)),"Not Found")</f>
        <v>-1.1299999999999999</v>
      </c>
      <c r="V192" s="21">
        <f t="array" ref="V192">IFERROR(INDEX('Strategy Watchlist'!W:W,MATCH($A192,'Strategy Watchlist'!$A:$A,0)),"Not Found")</f>
        <v>0.64</v>
      </c>
      <c r="W192" s="21">
        <f t="array" ref="W192">IFERROR(INDEX('Strategy Watchlist'!X:X,MATCH($A192,'Strategy Watchlist'!$A:$A,0)),"Not Found")</f>
        <v>-0.53</v>
      </c>
      <c r="X192" s="21">
        <f t="array" ref="X192">IFERROR(INDEX('Strategy Watchlist'!Y:Y,MATCH($A192,'Strategy Watchlist'!$A:$A,0)),"Not Found")</f>
        <v>-0.16</v>
      </c>
      <c r="Y192" s="22" t="str">
        <f t="array" ref="Y192">IFERROR(INDEX('Strategy Watchlist'!Z:Z,MATCH($A192,'Strategy Watchlist'!$A:$A,0)),"Not Found")</f>
        <v>https://www.tradingview.com/chart/7HMGQSsJ/</v>
      </c>
      <c r="Z192" s="58"/>
      <c r="AA192" s="58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">
        <v>62</v>
      </c>
      <c r="AV192" s="1" t="s">
        <v>95</v>
      </c>
      <c r="AW192" s="1" t="s">
        <v>94</v>
      </c>
      <c r="AX192" s="1" t="s">
        <v>51</v>
      </c>
      <c r="AY192" s="18">
        <v>8.125</v>
      </c>
      <c r="AZ192" s="4">
        <v>124</v>
      </c>
      <c r="BA192" s="1" t="s">
        <v>52</v>
      </c>
      <c r="BB192" s="76">
        <v>45833</v>
      </c>
      <c r="BC192" s="77">
        <v>-0.09</v>
      </c>
      <c r="BD192" s="77">
        <v>2.89</v>
      </c>
      <c r="BE192" s="77">
        <v>4.46</v>
      </c>
      <c r="BF192" s="77">
        <v>2.52</v>
      </c>
      <c r="BG192" s="77">
        <v>1.25</v>
      </c>
      <c r="BH192" s="77">
        <v>-1.1299999999999999</v>
      </c>
      <c r="BI192" s="77">
        <v>0.64</v>
      </c>
      <c r="BJ192" s="77">
        <v>-0.53</v>
      </c>
      <c r="BK192" s="77">
        <v>-0.16</v>
      </c>
      <c r="BL192" s="1" t="s">
        <v>93</v>
      </c>
      <c r="BM192" s="1" t="s">
        <v>96</v>
      </c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</row>
    <row r="193" spans="1:119" ht="14.25" customHeight="1" x14ac:dyDescent="0.2">
      <c r="A193" s="39" t="str">
        <f t="shared" si="66"/>
        <v>[8a00ecfa]|ADA|JpTrendForce|1H</v>
      </c>
      <c r="B193" s="78" t="s">
        <v>28</v>
      </c>
      <c r="C193" s="43">
        <f t="shared" si="70"/>
        <v>0.15</v>
      </c>
      <c r="D193" s="3" t="s">
        <v>97</v>
      </c>
      <c r="E193" s="78" t="s">
        <v>98</v>
      </c>
      <c r="F193" s="78" t="s">
        <v>99</v>
      </c>
      <c r="G193" s="78" t="s">
        <v>52</v>
      </c>
      <c r="H193" s="17">
        <v>1500</v>
      </c>
      <c r="I193" s="24">
        <f t="shared" si="71"/>
        <v>315</v>
      </c>
      <c r="J193" s="24">
        <f t="shared" si="72"/>
        <v>315</v>
      </c>
      <c r="K193" s="1">
        <v>20</v>
      </c>
      <c r="L193" s="18">
        <f>38.28/5.19</f>
        <v>7.3757225433526008</v>
      </c>
      <c r="M193" s="4">
        <v>160</v>
      </c>
      <c r="N193" s="79">
        <v>45682</v>
      </c>
      <c r="O193" s="3">
        <v>3.77</v>
      </c>
      <c r="P193" s="3">
        <v>-1.61</v>
      </c>
      <c r="Q193" s="3">
        <v>1.35</v>
      </c>
      <c r="R193" s="3">
        <v>2.58</v>
      </c>
      <c r="S193" s="3">
        <v>3.16</v>
      </c>
      <c r="T193" s="3">
        <v>1.52</v>
      </c>
      <c r="U193" s="3">
        <v>-1.1000000000000001</v>
      </c>
      <c r="V193" s="3">
        <v>-1.24</v>
      </c>
      <c r="W193" s="3">
        <v>0</v>
      </c>
      <c r="X193" s="3">
        <v>0</v>
      </c>
      <c r="Y193" s="80" t="s">
        <v>100</v>
      </c>
      <c r="Z193" s="3"/>
      <c r="AA193" s="3"/>
      <c r="AB193" s="3"/>
      <c r="AC193" s="3"/>
      <c r="AD193" s="3"/>
      <c r="AU193" s="39" t="str">
        <f t="shared" ref="AU193:AU194" si="73">AX193&amp;"|"&amp;AY193&amp;"|"&amp;AZ193&amp;"|"&amp;BA193</f>
        <v>[8a00ecfa]|ADA|JpTrendForce|1H</v>
      </c>
      <c r="AV193" s="78" t="s">
        <v>62</v>
      </c>
      <c r="AW193" s="1"/>
      <c r="AX193" s="3" t="s">
        <v>97</v>
      </c>
      <c r="AY193" s="78" t="s">
        <v>98</v>
      </c>
      <c r="AZ193" s="78" t="s">
        <v>99</v>
      </c>
      <c r="BA193" s="78" t="s">
        <v>52</v>
      </c>
      <c r="BB193" s="18"/>
      <c r="BC193" s="18"/>
      <c r="BD193" s="18"/>
      <c r="BE193" s="18"/>
      <c r="BF193" s="18">
        <f>38.28/5.19</f>
        <v>7.3757225433526008</v>
      </c>
      <c r="BG193" s="4">
        <v>160</v>
      </c>
      <c r="BH193" s="79">
        <v>45682</v>
      </c>
      <c r="BI193" s="3">
        <v>3.77</v>
      </c>
      <c r="BJ193" s="3">
        <v>-1.61</v>
      </c>
      <c r="BK193" s="3">
        <v>1.35</v>
      </c>
      <c r="BL193" s="3">
        <v>2.58</v>
      </c>
      <c r="BM193" s="3">
        <v>3.16</v>
      </c>
      <c r="BN193" s="3">
        <v>1.52</v>
      </c>
      <c r="BO193" s="3">
        <v>-1.1000000000000001</v>
      </c>
      <c r="BP193" s="3">
        <v>-1.24</v>
      </c>
      <c r="BQ193" s="3">
        <v>0</v>
      </c>
      <c r="BR193" s="3">
        <v>0</v>
      </c>
      <c r="BS193" s="80" t="s">
        <v>100</v>
      </c>
      <c r="BT193" s="3"/>
      <c r="BU193" s="3"/>
      <c r="BV193" s="3"/>
      <c r="BW193" s="3"/>
      <c r="BX193" s="3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</row>
    <row r="194" spans="1:119" ht="14.25" customHeight="1" x14ac:dyDescent="0.2">
      <c r="A194" s="39" t="str">
        <f t="shared" si="66"/>
        <v>[fbf06b43]|MNT|Trendhoo|37m</v>
      </c>
      <c r="B194" s="42" t="s">
        <v>28</v>
      </c>
      <c r="C194" s="43">
        <f t="shared" si="70"/>
        <v>0.3</v>
      </c>
      <c r="D194" s="42" t="s">
        <v>101</v>
      </c>
      <c r="E194" s="42" t="s">
        <v>102</v>
      </c>
      <c r="F194" s="42" t="s">
        <v>67</v>
      </c>
      <c r="G194" s="42" t="s">
        <v>103</v>
      </c>
      <c r="H194" s="17">
        <v>3000</v>
      </c>
      <c r="I194" s="24">
        <f t="shared" si="71"/>
        <v>630</v>
      </c>
      <c r="J194" s="24">
        <f t="shared" si="72"/>
        <v>630</v>
      </c>
      <c r="K194" s="1">
        <v>28</v>
      </c>
      <c r="L194" s="43">
        <f>106.85/16.15</f>
        <v>6.6160990712074303</v>
      </c>
      <c r="M194" s="44">
        <v>846</v>
      </c>
      <c r="N194" s="81">
        <v>45863</v>
      </c>
      <c r="O194" s="21">
        <v>2.4900000000000002</v>
      </c>
      <c r="P194" s="21">
        <v>6.22</v>
      </c>
      <c r="Q194" s="21">
        <v>2.4</v>
      </c>
      <c r="R194" s="21">
        <v>14.95</v>
      </c>
      <c r="S194" s="21">
        <v>-0.75</v>
      </c>
      <c r="T194" s="21">
        <v>2.1800000000000002</v>
      </c>
      <c r="U194" s="21">
        <v>-6.96</v>
      </c>
      <c r="V194" s="21">
        <v>-0.73</v>
      </c>
      <c r="W194" s="21">
        <v>-1.92</v>
      </c>
      <c r="X194" s="21">
        <v>6.73</v>
      </c>
      <c r="Y194" s="47" t="s">
        <v>104</v>
      </c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39" t="str">
        <f t="shared" si="73"/>
        <v>[fbf06b43]|MNT|Trendhoo|37m</v>
      </c>
      <c r="AV194" s="42" t="s">
        <v>28</v>
      </c>
      <c r="AW194" s="17">
        <v>0.2</v>
      </c>
      <c r="AX194" s="42" t="s">
        <v>101</v>
      </c>
      <c r="AY194" s="42" t="s">
        <v>102</v>
      </c>
      <c r="AZ194" s="42" t="s">
        <v>67</v>
      </c>
      <c r="BA194" s="42" t="s">
        <v>103</v>
      </c>
      <c r="BB194" s="43"/>
      <c r="BC194" s="43"/>
      <c r="BD194" s="43"/>
      <c r="BE194" s="43"/>
      <c r="BF194" s="43">
        <f>106.85/16.15</f>
        <v>6.6160990712074303</v>
      </c>
      <c r="BG194" s="44">
        <v>846</v>
      </c>
      <c r="BH194" s="81">
        <v>45863</v>
      </c>
      <c r="BI194" s="21">
        <v>2.4900000000000002</v>
      </c>
      <c r="BJ194" s="21">
        <v>6.22</v>
      </c>
      <c r="BK194" s="21">
        <v>2.4</v>
      </c>
      <c r="BL194" s="21">
        <v>14.95</v>
      </c>
      <c r="BM194" s="21">
        <v>-0.75</v>
      </c>
      <c r="BN194" s="21">
        <v>2.1800000000000002</v>
      </c>
      <c r="BO194" s="21">
        <v>-6.96</v>
      </c>
      <c r="BP194" s="21">
        <v>-0.73</v>
      </c>
      <c r="BQ194" s="21">
        <v>-1.92</v>
      </c>
      <c r="BR194" s="21">
        <v>6.73</v>
      </c>
      <c r="BS194" s="47" t="s">
        <v>104</v>
      </c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</row>
    <row r="195" spans="1:119" ht="14.25" customHeight="1" x14ac:dyDescent="0.2">
      <c r="A195" s="86" t="str">
        <f t="shared" si="66"/>
        <v>|9864.53||</v>
      </c>
      <c r="B195" s="86" t="s">
        <v>126</v>
      </c>
      <c r="C195" s="86"/>
      <c r="D195" s="86"/>
      <c r="E195" s="86">
        <v>9864.5300000000007</v>
      </c>
      <c r="F195" s="86"/>
      <c r="G195" s="86"/>
      <c r="H195" s="86"/>
      <c r="I195" s="87"/>
      <c r="J195" s="87"/>
      <c r="K195" s="86"/>
      <c r="L195" s="19"/>
      <c r="M195" s="12"/>
      <c r="N195" s="20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19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6"/>
      <c r="BQ195" s="86"/>
      <c r="BR195" s="86"/>
      <c r="BS195" s="86"/>
      <c r="BT195" s="86"/>
      <c r="BU195" s="86"/>
      <c r="BV195" s="86"/>
      <c r="BW195" s="86"/>
      <c r="BX195" s="86"/>
      <c r="BY195" s="86"/>
      <c r="BZ195" s="86"/>
      <c r="CA195" s="86"/>
      <c r="CB195" s="86"/>
      <c r="CC195" s="86"/>
      <c r="CD195" s="86"/>
      <c r="CE195" s="86"/>
      <c r="CF195" s="86"/>
      <c r="CG195" s="86"/>
      <c r="CH195" s="86"/>
      <c r="CI195" s="86"/>
      <c r="CJ195" s="86"/>
      <c r="CK195" s="86"/>
      <c r="CL195" s="86"/>
      <c r="CM195" s="86"/>
      <c r="CN195" s="86"/>
      <c r="CO195" s="86"/>
      <c r="CP195" s="86"/>
      <c r="CQ195" s="86"/>
      <c r="CR195" s="86"/>
      <c r="CS195" s="86"/>
      <c r="CT195" s="86"/>
      <c r="CU195" s="86"/>
      <c r="CV195" s="86"/>
      <c r="CW195" s="86"/>
      <c r="CX195" s="86"/>
      <c r="CY195" s="86"/>
      <c r="CZ195" s="86"/>
      <c r="DA195" s="86"/>
      <c r="DB195" s="86"/>
      <c r="DC195" s="86"/>
      <c r="DD195" s="86"/>
      <c r="DE195" s="86"/>
      <c r="DF195" s="86"/>
      <c r="DG195" s="86"/>
      <c r="DH195" s="86"/>
      <c r="DI195" s="86"/>
      <c r="DJ195" s="86"/>
      <c r="DK195" s="86"/>
      <c r="DL195" s="86"/>
      <c r="DM195" s="86"/>
      <c r="DN195" s="86"/>
      <c r="DO195" s="86"/>
    </row>
    <row r="196" spans="1:119" ht="14.25" customHeight="1" x14ac:dyDescent="0.2">
      <c r="A196" s="17" t="str">
        <f t="shared" si="66"/>
        <v>17.12.2024|ARB|Heiken-Ashi|45m</v>
      </c>
      <c r="B196" s="1" t="s">
        <v>28</v>
      </c>
      <c r="C196" s="62">
        <f t="shared" ref="C196:C200" si="74">H196/$E$195</f>
        <v>0.20274660830267635</v>
      </c>
      <c r="D196" s="58" t="s">
        <v>81</v>
      </c>
      <c r="E196" s="1" t="s">
        <v>30</v>
      </c>
      <c r="F196" s="1" t="s">
        <v>37</v>
      </c>
      <c r="G196" s="1" t="s">
        <v>32</v>
      </c>
      <c r="H196" s="1">
        <v>2000</v>
      </c>
      <c r="I196" s="2">
        <f t="shared" ref="I196:I203" si="75">H196*0.21</f>
        <v>420</v>
      </c>
      <c r="J196" s="2">
        <v>440</v>
      </c>
      <c r="K196" s="1">
        <v>20</v>
      </c>
      <c r="L196" s="19">
        <f t="array" ref="L196">IFERROR(INDEX('Strategy Watchlist'!L:L,MATCH($A196,'Strategy Watchlist'!$A:$A,0)),"Not Found")</f>
        <v>12.102857142857143</v>
      </c>
      <c r="M196" s="12">
        <f t="array" ref="M196">IFERROR(INDEX('Strategy Watchlist'!M:M,MATCH($A196,'Strategy Watchlist'!$A:$A,0)),"Not Found")</f>
        <v>294</v>
      </c>
      <c r="N196" s="20">
        <f t="array" ref="N196">IFERROR(INDEX('Strategy Watchlist'!N:N,MATCH($A196,'Strategy Watchlist'!$A:$A,0)),"Not Found")</f>
        <v>45772</v>
      </c>
      <c r="O196" s="21">
        <f t="array" ref="O196">IFERROR(INDEX('Strategy Watchlist'!P:P,MATCH($A196,'Strategy Watchlist'!$A:$A,0)),"Not Found")</f>
        <v>-0.88</v>
      </c>
      <c r="P196" s="21">
        <f t="array" ref="P196">IFERROR(INDEX('Strategy Watchlist'!Q:Q,MATCH($A196,'Strategy Watchlist'!$A:$A,0)),"Not Found")</f>
        <v>0.46</v>
      </c>
      <c r="Q196" s="21">
        <f t="array" ref="Q196">IFERROR(INDEX('Strategy Watchlist'!R:R,MATCH($A196,'Strategy Watchlist'!$A:$A,0)),"Not Found")</f>
        <v>-0.54</v>
      </c>
      <c r="R196" s="21">
        <f t="array" ref="R196">IFERROR(INDEX('Strategy Watchlist'!S:S,MATCH($A196,'Strategy Watchlist'!$A:$A,0)),"Not Found")</f>
        <v>4.43</v>
      </c>
      <c r="S196" s="21">
        <f t="array" ref="S196">IFERROR(INDEX('Strategy Watchlist'!T:T,MATCH($A196,'Strategy Watchlist'!$A:$A,0)),"Not Found")</f>
        <v>-0.26</v>
      </c>
      <c r="T196" s="21">
        <f t="array" ref="T196">IFERROR(INDEX('Strategy Watchlist'!U:U,MATCH($A196,'Strategy Watchlist'!$A:$A,0)),"Not Found")</f>
        <v>0.04</v>
      </c>
      <c r="U196" s="21">
        <f t="array" ref="U196">IFERROR(INDEX('Strategy Watchlist'!V:V,MATCH($A196,'Strategy Watchlist'!$A:$A,0)),"Not Found")</f>
        <v>1.27</v>
      </c>
      <c r="V196" s="21">
        <f t="array" ref="V196">IFERROR(INDEX('Strategy Watchlist'!W:W,MATCH($A196,'Strategy Watchlist'!$A:$A,0)),"Not Found")</f>
        <v>3.69</v>
      </c>
      <c r="W196" s="21">
        <f t="array" ref="W196">IFERROR(INDEX('Strategy Watchlist'!X:X,MATCH($A196,'Strategy Watchlist'!$A:$A,0)),"Not Found")</f>
        <v>-0.27</v>
      </c>
      <c r="X196" s="21">
        <f t="array" ref="X196">IFERROR(INDEX('Strategy Watchlist'!Y:Y,MATCH($A196,'Strategy Watchlist'!$A:$A,0)),"Not Found")</f>
        <v>3.17</v>
      </c>
      <c r="Y196" s="22" t="str">
        <f t="array" ref="Y196">IFERROR(INDEX('Strategy Watchlist'!Z:Z,MATCH($A196,'Strategy Watchlist'!$A:$A,0)),"Not Found")</f>
        <v>https://www.tradingview.com/chart/9cT1VRvW/</v>
      </c>
      <c r="Z196" s="58"/>
      <c r="AA196" s="58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</row>
    <row r="197" spans="1:119" ht="14.25" customHeight="1" x14ac:dyDescent="0.2">
      <c r="A197" s="63" t="str">
        <f t="shared" si="66"/>
        <v>|PePe|T3 Nexus|30m</v>
      </c>
      <c r="B197" s="63" t="s">
        <v>28</v>
      </c>
      <c r="C197" s="64">
        <f t="shared" si="74"/>
        <v>0.18247194747240872</v>
      </c>
      <c r="D197" s="63"/>
      <c r="E197" s="63" t="s">
        <v>40</v>
      </c>
      <c r="F197" s="63" t="s">
        <v>82</v>
      </c>
      <c r="G197" s="63" t="s">
        <v>38</v>
      </c>
      <c r="H197" s="65">
        <v>1800</v>
      </c>
      <c r="I197" s="65">
        <f t="shared" si="75"/>
        <v>378</v>
      </c>
      <c r="J197" s="65">
        <v>460</v>
      </c>
      <c r="K197" s="63">
        <v>20</v>
      </c>
      <c r="L197" s="66">
        <f t="array" ref="L197">IFERROR(INDEX('Strategy Watchlist'!L:L,MATCH($A197,'Strategy Watchlist'!$A:$A,0)),"Not Found")</f>
        <v>0.82275229357798174</v>
      </c>
      <c r="M197" s="67">
        <f t="array" ref="M197">IFERROR(INDEX('Strategy Watchlist'!M:M,MATCH($A197,'Strategy Watchlist'!$A:$A,0)),"Not Found")</f>
        <v>748</v>
      </c>
      <c r="N197" s="68">
        <f t="array" ref="N197">IFERROR(INDEX('Strategy Watchlist'!N:N,MATCH($A197,'Strategy Watchlist'!$A:$A,0)),"Not Found")</f>
        <v>45662</v>
      </c>
      <c r="O197" s="21">
        <f t="array" ref="O197">IFERROR(INDEX('Strategy Watchlist'!P:P,MATCH($A197,'Strategy Watchlist'!$A:$A,0)),"Not Found")</f>
        <v>-8.9600000000000009</v>
      </c>
      <c r="P197" s="69">
        <f t="array" ref="P197">IFERROR(INDEX('Strategy Watchlist'!Q:Q,MATCH($A197,'Strategy Watchlist'!$A:$A,0)),"Not Found")</f>
        <v>-0.19</v>
      </c>
      <c r="Q197" s="69">
        <f t="array" ref="Q197">IFERROR(INDEX('Strategy Watchlist'!R:R,MATCH($A197,'Strategy Watchlist'!$A:$A,0)),"Not Found")</f>
        <v>6.1</v>
      </c>
      <c r="R197" s="69">
        <f t="array" ref="R197">IFERROR(INDEX('Strategy Watchlist'!S:S,MATCH($A197,'Strategy Watchlist'!$A:$A,0)),"Not Found")</f>
        <v>3.29</v>
      </c>
      <c r="S197" s="69">
        <f t="array" ref="S197">IFERROR(INDEX('Strategy Watchlist'!T:T,MATCH($A197,'Strategy Watchlist'!$A:$A,0)),"Not Found")</f>
        <v>1.47</v>
      </c>
      <c r="T197" s="69">
        <f t="array" ref="T197">IFERROR(INDEX('Strategy Watchlist'!U:U,MATCH($A197,'Strategy Watchlist'!$A:$A,0)),"Not Found")</f>
        <v>6.2</v>
      </c>
      <c r="U197" s="69">
        <f t="array" ref="U197">IFERROR(INDEX('Strategy Watchlist'!V:V,MATCH($A197,'Strategy Watchlist'!$A:$A,0)),"Not Found")</f>
        <v>-4.5</v>
      </c>
      <c r="V197" s="69">
        <f t="array" ref="V197">IFERROR(INDEX('Strategy Watchlist'!W:W,MATCH($A197,'Strategy Watchlist'!$A:$A,0)),"Not Found")</f>
        <v>4.74</v>
      </c>
      <c r="W197" s="69">
        <f t="array" ref="W197">IFERROR(INDEX('Strategy Watchlist'!X:X,MATCH($A197,'Strategy Watchlist'!$A:$A,0)),"Not Found")</f>
        <v>1.1599999999999999</v>
      </c>
      <c r="X197" s="69">
        <f t="array" ref="X197">IFERROR(INDEX('Strategy Watchlist'!Y:Y,MATCH($A197,'Strategy Watchlist'!$A:$A,0)),"Not Found")</f>
        <v>7.62</v>
      </c>
      <c r="Y197" s="70" t="str">
        <f t="array" ref="Y197">IFERROR(INDEX('Strategy Watchlist'!Z:Z,MATCH($A197,'Strategy Watchlist'!$A:$A,0)),"Not Found")</f>
        <v>https://www.tradingview.com/chart/Kj5ZGHdw/</v>
      </c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</row>
    <row r="198" spans="1:119" ht="14.25" customHeight="1" x14ac:dyDescent="0.2">
      <c r="A198" s="17" t="str">
        <f t="shared" si="66"/>
        <v>[1e052093]|SOL|FlashProfit|59m</v>
      </c>
      <c r="B198" s="1" t="s">
        <v>28</v>
      </c>
      <c r="C198" s="62">
        <f t="shared" si="74"/>
        <v>0.2534332603783454</v>
      </c>
      <c r="D198" s="58" t="s">
        <v>83</v>
      </c>
      <c r="E198" s="1" t="s">
        <v>43</v>
      </c>
      <c r="F198" s="1" t="s">
        <v>84</v>
      </c>
      <c r="G198" s="1" t="s">
        <v>85</v>
      </c>
      <c r="H198" s="1">
        <v>2500</v>
      </c>
      <c r="I198" s="2">
        <f t="shared" si="75"/>
        <v>525</v>
      </c>
      <c r="J198" s="2">
        <v>800</v>
      </c>
      <c r="K198" s="1">
        <v>30</v>
      </c>
      <c r="L198" s="19">
        <f t="array" ref="L198">IFERROR(INDEX('Strategy Watchlist'!L:L,MATCH($A198,'Strategy Watchlist'!$A:$A,0)),"Not Found")</f>
        <v>4.1988505747126439</v>
      </c>
      <c r="M198" s="12">
        <f t="array" ref="M198">IFERROR(INDEX('Strategy Watchlist'!M:M,MATCH($A198,'Strategy Watchlist'!$A:$A,0)),"Not Found")</f>
        <v>567</v>
      </c>
      <c r="N198" s="20">
        <f t="array" ref="N198">IFERROR(INDEX('Strategy Watchlist'!N:N,MATCH($A198,'Strategy Watchlist'!$A:$A,0)),"Not Found")</f>
        <v>45925</v>
      </c>
      <c r="O198" s="21">
        <f t="array" ref="O198">IFERROR(INDEX('Strategy Watchlist'!P:P,MATCH($A198,'Strategy Watchlist'!$A:$A,0)),"Not Found")</f>
        <v>0.82</v>
      </c>
      <c r="P198" s="21">
        <f t="array" ref="P198">IFERROR(INDEX('Strategy Watchlist'!Q:Q,MATCH($A198,'Strategy Watchlist'!$A:$A,0)),"Not Found")</f>
        <v>6.44</v>
      </c>
      <c r="Q198" s="21">
        <f t="array" ref="Q198">IFERROR(INDEX('Strategy Watchlist'!R:R,MATCH($A198,'Strategy Watchlist'!$A:$A,0)),"Not Found")</f>
        <v>4.43</v>
      </c>
      <c r="R198" s="21">
        <f t="array" ref="R198">IFERROR(INDEX('Strategy Watchlist'!S:S,MATCH($A198,'Strategy Watchlist'!$A:$A,0)),"Not Found")</f>
        <v>-0.32</v>
      </c>
      <c r="S198" s="21">
        <f t="array" ref="S198">IFERROR(INDEX('Strategy Watchlist'!T:T,MATCH($A198,'Strategy Watchlist'!$A:$A,0)),"Not Found")</f>
        <v>0.78</v>
      </c>
      <c r="T198" s="21">
        <f t="array" ref="T198">IFERROR(INDEX('Strategy Watchlist'!U:U,MATCH($A198,'Strategy Watchlist'!$A:$A,0)),"Not Found")</f>
        <v>2.0299999999999998</v>
      </c>
      <c r="U198" s="21">
        <f t="array" ref="U198">IFERROR(INDEX('Strategy Watchlist'!V:V,MATCH($A198,'Strategy Watchlist'!$A:$A,0)),"Not Found")</f>
        <v>0.72</v>
      </c>
      <c r="V198" s="21">
        <f t="array" ref="V198">IFERROR(INDEX('Strategy Watchlist'!W:W,MATCH($A198,'Strategy Watchlist'!$A:$A,0)),"Not Found")</f>
        <v>2.39</v>
      </c>
      <c r="W198" s="21">
        <f t="array" ref="W198">IFERROR(INDEX('Strategy Watchlist'!X:X,MATCH($A198,'Strategy Watchlist'!$A:$A,0)),"Not Found")</f>
        <v>1.96</v>
      </c>
      <c r="X198" s="21">
        <f t="array" ref="X198">IFERROR(INDEX('Strategy Watchlist'!Y:Y,MATCH($A198,'Strategy Watchlist'!$A:$A,0)),"Not Found")</f>
        <v>0.45</v>
      </c>
      <c r="Y198" s="22" t="str">
        <f t="array" ref="Y198">IFERROR(INDEX('Strategy Watchlist'!Z:Z,MATCH($A198,'Strategy Watchlist'!$A:$A,0)),"Not Found")</f>
        <v>https://www.tradingview.com/chart/mnGjsgoY/</v>
      </c>
      <c r="Z198" s="58"/>
      <c r="AA198" s="58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</row>
    <row r="199" spans="1:119" ht="14.25" customHeight="1" x14ac:dyDescent="0.2">
      <c r="A199" s="17" t="str">
        <f t="shared" si="66"/>
        <v>|LINK|McGinley|45m</v>
      </c>
      <c r="B199" s="17" t="s">
        <v>28</v>
      </c>
      <c r="C199" s="62">
        <f t="shared" si="74"/>
        <v>0.35480656452968362</v>
      </c>
      <c r="D199" s="17"/>
      <c r="E199" s="17" t="s">
        <v>25</v>
      </c>
      <c r="F199" s="17" t="s">
        <v>47</v>
      </c>
      <c r="G199" s="17" t="s">
        <v>32</v>
      </c>
      <c r="H199" s="24">
        <v>3500</v>
      </c>
      <c r="I199" s="24">
        <f t="shared" si="75"/>
        <v>735</v>
      </c>
      <c r="J199" s="24">
        <v>800</v>
      </c>
      <c r="K199" s="17">
        <v>25</v>
      </c>
      <c r="L199" s="19">
        <f t="array" ref="L199">IFERROR(INDEX('Strategy Watchlist'!L:L,MATCH($A199,'Strategy Watchlist'!$A:$A,0)),"Not Found")</f>
        <v>7.7349823321554769</v>
      </c>
      <c r="M199" s="12">
        <f t="array" ref="M199">IFERROR(INDEX('Strategy Watchlist'!M:M,MATCH($A199,'Strategy Watchlist'!$A:$A,0)),"Not Found")</f>
        <v>147</v>
      </c>
      <c r="N199" s="20">
        <f t="array" ref="N199">IFERROR(INDEX('Strategy Watchlist'!N:N,MATCH($A199,'Strategy Watchlist'!$A:$A,0)),"Not Found")</f>
        <v>45802</v>
      </c>
      <c r="O199" s="21">
        <f t="array" ref="O199">IFERROR(INDEX('Strategy Watchlist'!P:P,MATCH($A199,'Strategy Watchlist'!$A:$A,0)),"Not Found")</f>
        <v>-0.55000000000000004</v>
      </c>
      <c r="P199" s="21">
        <f t="array" ref="P199">IFERROR(INDEX('Strategy Watchlist'!Q:Q,MATCH($A199,'Strategy Watchlist'!$A:$A,0)),"Not Found")</f>
        <v>-1.1000000000000001</v>
      </c>
      <c r="Q199" s="21">
        <f t="array" ref="Q199">IFERROR(INDEX('Strategy Watchlist'!R:R,MATCH($A199,'Strategy Watchlist'!$A:$A,0)),"Not Found")</f>
        <v>2.98</v>
      </c>
      <c r="R199" s="21">
        <f t="array" ref="R199">IFERROR(INDEX('Strategy Watchlist'!S:S,MATCH($A199,'Strategy Watchlist'!$A:$A,0)),"Not Found")</f>
        <v>2.97</v>
      </c>
      <c r="S199" s="21">
        <f t="array" ref="S199">IFERROR(INDEX('Strategy Watchlist'!T:T,MATCH($A199,'Strategy Watchlist'!$A:$A,0)),"Not Found")</f>
        <v>2.9</v>
      </c>
      <c r="T199" s="21">
        <f t="array" ref="T199">IFERROR(INDEX('Strategy Watchlist'!U:U,MATCH($A199,'Strategy Watchlist'!$A:$A,0)),"Not Found")</f>
        <v>2</v>
      </c>
      <c r="U199" s="21">
        <f t="array" ref="U199">IFERROR(INDEX('Strategy Watchlist'!V:V,MATCH($A199,'Strategy Watchlist'!$A:$A,0)),"Not Found")</f>
        <v>2.2400000000000002</v>
      </c>
      <c r="V199" s="21">
        <f t="array" ref="V199">IFERROR(INDEX('Strategy Watchlist'!W:W,MATCH($A199,'Strategy Watchlist'!$A:$A,0)),"Not Found")</f>
        <v>0.79</v>
      </c>
      <c r="W199" s="21">
        <f t="array" ref="W199">IFERROR(INDEX('Strategy Watchlist'!X:X,MATCH($A199,'Strategy Watchlist'!$A:$A,0)),"Not Found")</f>
        <v>0.69</v>
      </c>
      <c r="X199" s="21">
        <f t="array" ref="X199">IFERROR(INDEX('Strategy Watchlist'!Y:Y,MATCH($A199,'Strategy Watchlist'!$A:$A,0)),"Not Found")</f>
        <v>-0.61</v>
      </c>
      <c r="Y199" s="22" t="str">
        <f t="array" ref="Y199">IFERROR(INDEX('Strategy Watchlist'!Z:Z,MATCH($A199,'Strategy Watchlist'!$A:$A,0)),"Not Found")</f>
        <v>https://www.tradingview.com/chart/elrmSYee/</v>
      </c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</row>
    <row r="200" spans="1:119" ht="14.25" customHeight="1" x14ac:dyDescent="0.2">
      <c r="A200" s="17" t="str">
        <f t="shared" si="66"/>
        <v>[6dcd4dc9]|ETH|precisionTrend|30m</v>
      </c>
      <c r="B200" s="1" t="s">
        <v>28</v>
      </c>
      <c r="C200" s="62">
        <f t="shared" si="74"/>
        <v>0.20274660830267635</v>
      </c>
      <c r="D200" s="58" t="s">
        <v>86</v>
      </c>
      <c r="E200" s="1" t="s">
        <v>46</v>
      </c>
      <c r="F200" s="1" t="s">
        <v>54</v>
      </c>
      <c r="G200" s="1" t="s">
        <v>38</v>
      </c>
      <c r="H200" s="1">
        <v>2000</v>
      </c>
      <c r="I200" s="24">
        <f t="shared" si="75"/>
        <v>420</v>
      </c>
      <c r="J200" s="2">
        <v>920</v>
      </c>
      <c r="K200" s="1">
        <v>22</v>
      </c>
      <c r="L200" s="19">
        <f t="array" ref="L200">IFERROR(INDEX('Strategy Watchlist'!L:L,MATCH($A200,'Strategy Watchlist'!$A:$A,0)),"Not Found")</f>
        <v>9.2112359550561802</v>
      </c>
      <c r="M200" s="12">
        <f t="array" ref="M200">IFERROR(INDEX('Strategy Watchlist'!M:M,MATCH($A200,'Strategy Watchlist'!$A:$A,0)),"Not Found")</f>
        <v>312</v>
      </c>
      <c r="N200" s="20">
        <f t="array" ref="N200">IFERROR(INDEX('Strategy Watchlist'!N:N,MATCH($A200,'Strategy Watchlist'!$A:$A,0)),"Not Found")</f>
        <v>45772</v>
      </c>
      <c r="O200" s="21">
        <f t="array" ref="O200">IFERROR(INDEX('Strategy Watchlist'!P:P,MATCH($A200,'Strategy Watchlist'!$A:$A,0)),"Not Found")</f>
        <v>1.07</v>
      </c>
      <c r="P200" s="21">
        <f t="array" ref="P200">IFERROR(INDEX('Strategy Watchlist'!Q:Q,MATCH($A200,'Strategy Watchlist'!$A:$A,0)),"Not Found")</f>
        <v>-2.52</v>
      </c>
      <c r="Q200" s="21">
        <f t="array" ref="Q200">IFERROR(INDEX('Strategy Watchlist'!R:R,MATCH($A200,'Strategy Watchlist'!$A:$A,0)),"Not Found")</f>
        <v>1.84</v>
      </c>
      <c r="R200" s="21">
        <f t="array" ref="R200">IFERROR(INDEX('Strategy Watchlist'!S:S,MATCH($A200,'Strategy Watchlist'!$A:$A,0)),"Not Found")</f>
        <v>3.9</v>
      </c>
      <c r="S200" s="21">
        <f t="array" ref="S200">IFERROR(INDEX('Strategy Watchlist'!T:T,MATCH($A200,'Strategy Watchlist'!$A:$A,0)),"Not Found")</f>
        <v>1.37</v>
      </c>
      <c r="T200" s="21">
        <f t="array" ref="T200">IFERROR(INDEX('Strategy Watchlist'!U:U,MATCH($A200,'Strategy Watchlist'!$A:$A,0)),"Not Found")</f>
        <v>6.22</v>
      </c>
      <c r="U200" s="21">
        <f t="array" ref="U200">IFERROR(INDEX('Strategy Watchlist'!V:V,MATCH($A200,'Strategy Watchlist'!$A:$A,0)),"Not Found")</f>
        <v>3</v>
      </c>
      <c r="V200" s="21">
        <f t="array" ref="V200">IFERROR(INDEX('Strategy Watchlist'!W:W,MATCH($A200,'Strategy Watchlist'!$A:$A,0)),"Not Found")</f>
        <v>3.99</v>
      </c>
      <c r="W200" s="21">
        <f t="array" ref="W200">IFERROR(INDEX('Strategy Watchlist'!X:X,MATCH($A200,'Strategy Watchlist'!$A:$A,0)),"Not Found")</f>
        <v>0.93</v>
      </c>
      <c r="X200" s="21">
        <f t="array" ref="X200">IFERROR(INDEX('Strategy Watchlist'!Y:Y,MATCH($A200,'Strategy Watchlist'!$A:$A,0)),"Not Found")</f>
        <v>2.21</v>
      </c>
      <c r="Y200" s="22" t="str">
        <f t="array" ref="Y200">IFERROR(INDEX('Strategy Watchlist'!Z:Z,MATCH($A200,'Strategy Watchlist'!$A:$A,0)),"Not Found")</f>
        <v>https://www.tradingview.com/chart/YxD2lfI2/</v>
      </c>
      <c r="Z200" s="58"/>
      <c r="AA200" s="58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</row>
    <row r="201" spans="1:119" ht="14.25" customHeight="1" x14ac:dyDescent="0.2">
      <c r="A201" s="17" t="str">
        <f t="shared" si="66"/>
        <v>[da58bf67]|NEAR|Trendhoo|30m</v>
      </c>
      <c r="B201" s="42" t="s">
        <v>28</v>
      </c>
      <c r="C201" s="62">
        <v>0.2</v>
      </c>
      <c r="D201" s="21" t="s">
        <v>87</v>
      </c>
      <c r="E201" s="42" t="s">
        <v>57</v>
      </c>
      <c r="F201" s="17" t="s">
        <v>67</v>
      </c>
      <c r="G201" s="78" t="s">
        <v>38</v>
      </c>
      <c r="H201" s="1">
        <v>1800</v>
      </c>
      <c r="I201" s="24">
        <f t="shared" si="75"/>
        <v>378</v>
      </c>
      <c r="J201" s="24">
        <v>400</v>
      </c>
      <c r="K201" s="24">
        <v>18</v>
      </c>
      <c r="L201" s="19">
        <f t="array" ref="L201">IFERROR(INDEX('Strategy Watchlist'!L:L,MATCH($A201,'Strategy Watchlist'!$A:$A,0)),"Not Found")</f>
        <v>5.9785234899328854</v>
      </c>
      <c r="M201" s="12">
        <f t="array" ref="M201">IFERROR(INDEX('Strategy Watchlist'!M:M,MATCH($A201,'Strategy Watchlist'!$A:$A,0)),"Not Found")</f>
        <v>188</v>
      </c>
      <c r="N201" s="20">
        <f t="array" ref="N201">IFERROR(INDEX('Strategy Watchlist'!N:N,MATCH($A201,'Strategy Watchlist'!$A:$A,0)),"Not Found")</f>
        <v>45802</v>
      </c>
      <c r="O201" s="21">
        <f t="array" ref="O201">IFERROR(INDEX('Strategy Watchlist'!P:P,MATCH($A201,'Strategy Watchlist'!$A:$A,0)),"Not Found")</f>
        <v>0.27</v>
      </c>
      <c r="P201" s="21">
        <f t="array" ref="P201">IFERROR(INDEX('Strategy Watchlist'!Q:Q,MATCH($A201,'Strategy Watchlist'!$A:$A,0)),"Not Found")</f>
        <v>0</v>
      </c>
      <c r="Q201" s="21">
        <f t="array" ref="Q201">IFERROR(INDEX('Strategy Watchlist'!R:R,MATCH($A201,'Strategy Watchlist'!$A:$A,0)),"Not Found")</f>
        <v>4.76</v>
      </c>
      <c r="R201" s="21">
        <f t="array" ref="R201">IFERROR(INDEX('Strategy Watchlist'!S:S,MATCH($A201,'Strategy Watchlist'!$A:$A,0)),"Not Found")</f>
        <v>1.93</v>
      </c>
      <c r="S201" s="21">
        <f t="array" ref="S201">IFERROR(INDEX('Strategy Watchlist'!T:T,MATCH($A201,'Strategy Watchlist'!$A:$A,0)),"Not Found")</f>
        <v>1.34</v>
      </c>
      <c r="T201" s="21">
        <f t="array" ref="T201">IFERROR(INDEX('Strategy Watchlist'!U:U,MATCH($A201,'Strategy Watchlist'!$A:$A,0)),"Not Found")</f>
        <v>2.2999999999999998</v>
      </c>
      <c r="U201" s="21">
        <f t="array" ref="U201">IFERROR(INDEX('Strategy Watchlist'!V:V,MATCH($A201,'Strategy Watchlist'!$A:$A,0)),"Not Found")</f>
        <v>0.08</v>
      </c>
      <c r="V201" s="21">
        <f t="array" ref="V201">IFERROR(INDEX('Strategy Watchlist'!W:W,MATCH($A201,'Strategy Watchlist'!$A:$A,0)),"Not Found")</f>
        <v>1.26</v>
      </c>
      <c r="W201" s="21">
        <f t="array" ref="W201">IFERROR(INDEX('Strategy Watchlist'!X:X,MATCH($A201,'Strategy Watchlist'!$A:$A,0)),"Not Found")</f>
        <v>1.01</v>
      </c>
      <c r="X201" s="21">
        <f t="array" ref="X201">IFERROR(INDEX('Strategy Watchlist'!Y:Y,MATCH($A201,'Strategy Watchlist'!$A:$A,0)),"Not Found")</f>
        <v>5.82</v>
      </c>
      <c r="Y201" s="22" t="str">
        <f t="array" ref="Y201">IFERROR(INDEX('Strategy Watchlist'!Z:Z,MATCH($A201,'Strategy Watchlist'!$A:$A,0)),"Not Found")</f>
        <v>https://www.tradingview.com/chart/CsNPJ40O/</v>
      </c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 t="s">
        <v>62</v>
      </c>
      <c r="AV201" s="42"/>
      <c r="AW201" s="42" t="s">
        <v>57</v>
      </c>
      <c r="AX201" s="17" t="s">
        <v>67</v>
      </c>
      <c r="AY201" s="95">
        <f>44.54/7.45</f>
        <v>5.9785234899328854</v>
      </c>
      <c r="AZ201" s="96">
        <v>188</v>
      </c>
      <c r="BA201" s="78" t="s">
        <v>38</v>
      </c>
      <c r="BB201" s="81">
        <v>45802</v>
      </c>
      <c r="BC201" s="21">
        <v>-0.16</v>
      </c>
      <c r="BD201" s="21">
        <v>4.76</v>
      </c>
      <c r="BE201" s="21">
        <v>1.93</v>
      </c>
      <c r="BF201" s="21">
        <v>1.34</v>
      </c>
      <c r="BG201" s="21">
        <v>2.2999999999999998</v>
      </c>
      <c r="BH201" s="21">
        <v>0.08</v>
      </c>
      <c r="BI201" s="21">
        <v>1.26</v>
      </c>
      <c r="BJ201" s="21">
        <v>1.01</v>
      </c>
      <c r="BK201" s="21">
        <v>5.82</v>
      </c>
      <c r="BL201" s="21" t="s">
        <v>87</v>
      </c>
      <c r="BM201" s="47" t="s">
        <v>88</v>
      </c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</row>
    <row r="202" spans="1:119" x14ac:dyDescent="0.2">
      <c r="A202" s="17" t="str">
        <f t="shared" si="66"/>
        <v>[4a2ddf14]|AAVE|McGlinley|45m</v>
      </c>
      <c r="B202" s="78" t="s">
        <v>28</v>
      </c>
      <c r="C202" s="62">
        <v>0.2</v>
      </c>
      <c r="D202" s="42" t="s">
        <v>89</v>
      </c>
      <c r="E202" s="42" t="s">
        <v>90</v>
      </c>
      <c r="F202" s="42" t="s">
        <v>91</v>
      </c>
      <c r="G202" s="42" t="s">
        <v>32</v>
      </c>
      <c r="H202" s="2">
        <v>2000</v>
      </c>
      <c r="I202" s="2">
        <f t="shared" si="75"/>
        <v>420</v>
      </c>
      <c r="J202" s="2">
        <f t="shared" ref="J202:J203" si="76">I202</f>
        <v>420</v>
      </c>
      <c r="K202" s="1">
        <v>23</v>
      </c>
      <c r="L202" s="19">
        <f t="array" ref="L202">IFERROR(INDEX('Strategy Watchlist'!L:L,MATCH($A202,'Strategy Watchlist'!$A:$A,0)),"Not Found")</f>
        <v>2.6694915254237288</v>
      </c>
      <c r="M202" s="12">
        <f t="array" ref="M202">IFERROR(INDEX('Strategy Watchlist'!M:M,MATCH($A202,'Strategy Watchlist'!$A:$A,0)),"Not Found")</f>
        <v>317</v>
      </c>
      <c r="N202" s="20">
        <f t="array" ref="N202">IFERROR(INDEX('Strategy Watchlist'!N:N,MATCH($A202,'Strategy Watchlist'!$A:$A,0)),"Not Found")</f>
        <v>45682</v>
      </c>
      <c r="O202" s="21">
        <f t="array" ref="O202">IFERROR(INDEX('Strategy Watchlist'!P:P,MATCH($A202,'Strategy Watchlist'!$A:$A,0)),"Not Found")</f>
        <v>2.66</v>
      </c>
      <c r="P202" s="19">
        <f t="array" ref="P202">IFERROR(INDEX('Strategy Watchlist'!Q:Q,MATCH($A202,'Strategy Watchlist'!$A:$A,0)),"Not Found")</f>
        <v>-0.85</v>
      </c>
      <c r="Q202" s="19">
        <f t="array" ref="Q202">IFERROR(INDEX('Strategy Watchlist'!R:R,MATCH($A202,'Strategy Watchlist'!$A:$A,0)),"Not Found")</f>
        <v>3.55</v>
      </c>
      <c r="R202" s="19">
        <f t="array" ref="R202">IFERROR(INDEX('Strategy Watchlist'!S:S,MATCH($A202,'Strategy Watchlist'!$A:$A,0)),"Not Found")</f>
        <v>1.77</v>
      </c>
      <c r="S202" s="19">
        <f t="array" ref="S202">IFERROR(INDEX('Strategy Watchlist'!T:T,MATCH($A202,'Strategy Watchlist'!$A:$A,0)),"Not Found")</f>
        <v>1.63</v>
      </c>
      <c r="T202" s="19">
        <f t="array" ref="T202">IFERROR(INDEX('Strategy Watchlist'!U:U,MATCH($A202,'Strategy Watchlist'!$A:$A,0)),"Not Found")</f>
        <v>-1.84</v>
      </c>
      <c r="U202" s="19">
        <f t="array" ref="U202">IFERROR(INDEX('Strategy Watchlist'!V:V,MATCH($A202,'Strategy Watchlist'!$A:$A,0)),"Not Found")</f>
        <v>0.2</v>
      </c>
      <c r="V202" s="19">
        <f t="array" ref="V202">IFERROR(INDEX('Strategy Watchlist'!W:W,MATCH($A202,'Strategy Watchlist'!$A:$A,0)),"Not Found")</f>
        <v>-1.49</v>
      </c>
      <c r="W202" s="19">
        <f t="array" ref="W202">IFERROR(INDEX('Strategy Watchlist'!X:X,MATCH($A202,'Strategy Watchlist'!$A:$A,0)),"Not Found")</f>
        <v>0</v>
      </c>
      <c r="X202" s="19">
        <f t="array" ref="X202">IFERROR(INDEX('Strategy Watchlist'!Y:Y,MATCH($A202,'Strategy Watchlist'!$A:$A,0)),"Not Found")</f>
        <v>0.28000000000000003</v>
      </c>
      <c r="Y202" s="22" t="str">
        <f t="array" ref="Y202">IFERROR(INDEX('Strategy Watchlist'!Z:Z,MATCH($A202,'Strategy Watchlist'!$A:$A,0)),"Not Found")</f>
        <v>https://www.tradingview.com/chart/Xt8Libni/</v>
      </c>
    </row>
    <row r="203" spans="1:119" ht="14.25" customHeight="1" x14ac:dyDescent="0.2">
      <c r="A203" s="39" t="str">
        <f t="shared" si="66"/>
        <v>[f2b236fa]|OP|glitchTrend|1H</v>
      </c>
      <c r="B203" s="42" t="s">
        <v>28</v>
      </c>
      <c r="C203" s="62">
        <v>0.2</v>
      </c>
      <c r="D203" s="21" t="s">
        <v>59</v>
      </c>
      <c r="E203" s="42" t="s">
        <v>60</v>
      </c>
      <c r="F203" s="42" t="s">
        <v>61</v>
      </c>
      <c r="G203" s="42" t="s">
        <v>52</v>
      </c>
      <c r="H203" s="1">
        <v>2000</v>
      </c>
      <c r="I203" s="2">
        <f t="shared" si="75"/>
        <v>420</v>
      </c>
      <c r="J203" s="24">
        <f t="shared" si="76"/>
        <v>420</v>
      </c>
      <c r="K203" s="1">
        <v>18</v>
      </c>
      <c r="L203" s="103">
        <f>57.27/6.84</f>
        <v>8.3728070175438596</v>
      </c>
      <c r="M203" s="44">
        <v>409</v>
      </c>
      <c r="N203" s="81">
        <v>45863</v>
      </c>
      <c r="O203" s="21">
        <f t="array" ref="O203">IFERROR(INDEX('Strategy Watchlist'!P:P,MATCH($A203,'Strategy Watchlist'!$A:$A,0)),"Not Found")</f>
        <v>2.64</v>
      </c>
      <c r="P203" s="21">
        <v>0.13</v>
      </c>
      <c r="Q203" s="21">
        <v>1.69</v>
      </c>
      <c r="R203" s="21">
        <v>6.07</v>
      </c>
      <c r="S203" s="21">
        <v>-3.19</v>
      </c>
      <c r="T203" s="21">
        <v>5.27</v>
      </c>
      <c r="U203" s="21">
        <v>3.43</v>
      </c>
      <c r="V203" s="21">
        <v>2.02</v>
      </c>
      <c r="W203" s="21">
        <v>0.08</v>
      </c>
      <c r="X203" s="21">
        <v>7.85</v>
      </c>
      <c r="Y203" s="47" t="s">
        <v>63</v>
      </c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39" t="str">
        <f>AX203&amp;"|"&amp;AY203&amp;"|"&amp;AZ203&amp;"|"&amp;BA203</f>
        <v>[f2b236fa]|OP|glitchTrend|1H</v>
      </c>
      <c r="AV203" s="42" t="s">
        <v>62</v>
      </c>
      <c r="AW203" s="17"/>
      <c r="AX203" s="21" t="s">
        <v>59</v>
      </c>
      <c r="AY203" s="42" t="s">
        <v>60</v>
      </c>
      <c r="AZ203" s="42" t="s">
        <v>61</v>
      </c>
      <c r="BA203" s="42" t="s">
        <v>52</v>
      </c>
      <c r="BB203" s="103"/>
      <c r="BC203" s="103"/>
      <c r="BD203" s="103"/>
      <c r="BE203" s="103"/>
      <c r="BF203" s="103">
        <f>57.27/6.84</f>
        <v>8.3728070175438596</v>
      </c>
      <c r="BG203" s="44">
        <v>409</v>
      </c>
      <c r="BH203" s="81">
        <v>45863</v>
      </c>
      <c r="BI203" s="21">
        <v>0.5</v>
      </c>
      <c r="BJ203" s="21">
        <v>0.13</v>
      </c>
      <c r="BK203" s="21">
        <v>1.69</v>
      </c>
      <c r="BL203" s="21">
        <v>6.07</v>
      </c>
      <c r="BM203" s="21">
        <v>-3.19</v>
      </c>
      <c r="BN203" s="21">
        <v>5.27</v>
      </c>
      <c r="BO203" s="21">
        <v>3.43</v>
      </c>
      <c r="BP203" s="21">
        <v>2.02</v>
      </c>
      <c r="BQ203" s="21">
        <v>0.08</v>
      </c>
      <c r="BR203" s="21">
        <v>7.85</v>
      </c>
      <c r="BS203" s="47" t="s">
        <v>63</v>
      </c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  <c r="CH203" s="42"/>
      <c r="CI203" s="42"/>
      <c r="CJ203" s="42"/>
      <c r="CK203" s="42"/>
      <c r="CL203" s="42"/>
      <c r="CM203" s="42"/>
      <c r="CN203" s="42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</row>
    <row r="204" spans="1:119" ht="14.25" customHeight="1" x14ac:dyDescent="0.2">
      <c r="A204" s="86" t="str">
        <f t="shared" si="66"/>
        <v>|9864.53||</v>
      </c>
      <c r="B204" s="86" t="s">
        <v>127</v>
      </c>
      <c r="C204" s="86"/>
      <c r="D204" s="86"/>
      <c r="E204" s="86">
        <v>9864.5300000000007</v>
      </c>
      <c r="F204" s="86"/>
      <c r="G204" s="86"/>
      <c r="H204" s="86"/>
      <c r="I204" s="87"/>
      <c r="J204" s="87"/>
      <c r="K204" s="86"/>
      <c r="L204" s="19"/>
      <c r="M204" s="12"/>
      <c r="N204" s="20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19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86"/>
      <c r="BQ204" s="86"/>
      <c r="BR204" s="86"/>
      <c r="BS204" s="86"/>
      <c r="BT204" s="86"/>
      <c r="BU204" s="86"/>
      <c r="BV204" s="86"/>
      <c r="BW204" s="86"/>
      <c r="BX204" s="86"/>
      <c r="BY204" s="86"/>
      <c r="BZ204" s="86"/>
      <c r="CA204" s="86"/>
      <c r="CB204" s="86"/>
      <c r="CC204" s="86"/>
      <c r="CD204" s="86"/>
      <c r="CE204" s="86"/>
      <c r="CF204" s="86"/>
      <c r="CG204" s="86"/>
      <c r="CH204" s="86"/>
      <c r="CI204" s="86"/>
      <c r="CJ204" s="86"/>
      <c r="CK204" s="86"/>
      <c r="CL204" s="86"/>
      <c r="CM204" s="86"/>
      <c r="CN204" s="86"/>
      <c r="CO204" s="86"/>
      <c r="CP204" s="86"/>
      <c r="CQ204" s="86"/>
      <c r="CR204" s="86"/>
      <c r="CS204" s="86"/>
      <c r="CT204" s="86"/>
      <c r="CU204" s="86"/>
      <c r="CV204" s="86"/>
      <c r="CW204" s="86"/>
      <c r="CX204" s="86"/>
      <c r="CY204" s="86"/>
      <c r="CZ204" s="86"/>
      <c r="DA204" s="86"/>
      <c r="DB204" s="86"/>
      <c r="DC204" s="86"/>
      <c r="DD204" s="86"/>
      <c r="DE204" s="86"/>
      <c r="DF204" s="86"/>
      <c r="DG204" s="86"/>
      <c r="DH204" s="86"/>
      <c r="DI204" s="86"/>
      <c r="DJ204" s="86"/>
      <c r="DK204" s="86"/>
      <c r="DL204" s="86"/>
      <c r="DM204" s="86"/>
      <c r="DN204" s="86"/>
      <c r="DO204" s="86"/>
    </row>
    <row r="205" spans="1:119" ht="14.25" customHeight="1" x14ac:dyDescent="0.2">
      <c r="A205" s="39" t="str">
        <f t="shared" si="66"/>
        <v>[04ea3071]|BTC|AI vs Ninja Turtle|76min</v>
      </c>
      <c r="B205" s="42" t="s">
        <v>28</v>
      </c>
      <c r="C205" s="62">
        <f t="shared" ref="C205:C207" si="77">H205/$E$204</f>
        <v>0.4054932166053527</v>
      </c>
      <c r="D205" s="42" t="s">
        <v>72</v>
      </c>
      <c r="E205" s="42" t="s">
        <v>73</v>
      </c>
      <c r="F205" s="42" t="s">
        <v>74</v>
      </c>
      <c r="G205" s="42" t="s">
        <v>75</v>
      </c>
      <c r="H205" s="24">
        <v>4000</v>
      </c>
      <c r="I205" s="2">
        <f t="shared" ref="I205:I207" si="78">H205*0.21</f>
        <v>840</v>
      </c>
      <c r="J205" s="24">
        <v>1000</v>
      </c>
      <c r="K205" s="24">
        <v>30</v>
      </c>
      <c r="L205" s="19">
        <f>37.21/4.33</f>
        <v>8.5935334872979219</v>
      </c>
      <c r="M205" s="12">
        <v>78</v>
      </c>
      <c r="N205" s="45">
        <v>45682</v>
      </c>
      <c r="O205" s="21">
        <f t="array" ref="O205">IFERROR(INDEX('Strategy Watchlist'!P:P,MATCH($A205,'Strategy Watchlist'!$A:$A,0)),"Not Found")</f>
        <v>1.67</v>
      </c>
      <c r="P205" s="21">
        <v>0.99</v>
      </c>
      <c r="Q205" s="21">
        <v>-0.22</v>
      </c>
      <c r="R205" s="21">
        <v>2.83</v>
      </c>
      <c r="S205" s="21">
        <v>-1.36</v>
      </c>
      <c r="T205" s="21">
        <v>3.58</v>
      </c>
      <c r="U205" s="21">
        <v>-0.43</v>
      </c>
      <c r="V205" s="21">
        <v>1.1299999999999999</v>
      </c>
      <c r="W205" s="21">
        <v>1.58</v>
      </c>
      <c r="X205" s="21">
        <v>3.31</v>
      </c>
      <c r="Y205" s="47" t="s">
        <v>76</v>
      </c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39" t="str">
        <f t="shared" ref="AU205:AU206" si="79">AX205&amp;"|"&amp;AY205&amp;"|"&amp;AZ205&amp;"|"&amp;BA205</f>
        <v>[04ea3071]|BTC|AI vs Ninja Turtle|76min</v>
      </c>
      <c r="AV205" s="42" t="s">
        <v>28</v>
      </c>
      <c r="AW205" s="17"/>
      <c r="AX205" s="42" t="s">
        <v>72</v>
      </c>
      <c r="AY205" s="42" t="s">
        <v>73</v>
      </c>
      <c r="AZ205" s="42" t="s">
        <v>74</v>
      </c>
      <c r="BA205" s="42" t="s">
        <v>75</v>
      </c>
      <c r="BB205" s="19"/>
      <c r="BC205" s="19"/>
      <c r="BD205" s="19"/>
      <c r="BE205" s="19"/>
      <c r="BF205" s="19">
        <f>37.21/4.33</f>
        <v>8.5935334872979219</v>
      </c>
      <c r="BG205" s="46">
        <v>78</v>
      </c>
      <c r="BH205" s="45">
        <v>45682</v>
      </c>
      <c r="BI205" s="21">
        <v>0.99</v>
      </c>
      <c r="BJ205" s="21">
        <v>-0.22</v>
      </c>
      <c r="BK205" s="21">
        <v>2.83</v>
      </c>
      <c r="BL205" s="21">
        <v>-1.36</v>
      </c>
      <c r="BM205" s="21">
        <v>3.58</v>
      </c>
      <c r="BN205" s="21">
        <v>-0.43</v>
      </c>
      <c r="BO205" s="21">
        <v>1.1299999999999999</v>
      </c>
      <c r="BP205" s="21">
        <v>1.58</v>
      </c>
      <c r="BQ205" s="21">
        <v>3.31</v>
      </c>
      <c r="BR205" s="47" t="s">
        <v>76</v>
      </c>
      <c r="BS205" s="42"/>
      <c r="BT205" s="42"/>
      <c r="BU205" s="42"/>
      <c r="BV205" s="42"/>
      <c r="BW205" s="42"/>
      <c r="BX205" s="42"/>
      <c r="BY205" s="42"/>
      <c r="BZ205" s="42"/>
      <c r="CA205" s="42"/>
      <c r="CB205" s="42"/>
      <c r="CC205" s="42"/>
      <c r="CD205" s="42"/>
      <c r="CE205" s="42"/>
      <c r="CF205" s="42"/>
      <c r="CG205" s="42"/>
      <c r="CH205" s="42"/>
      <c r="CI205" s="42"/>
      <c r="CJ205" s="42"/>
      <c r="CK205" s="42"/>
      <c r="CL205" s="42"/>
      <c r="CM205" s="42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</row>
    <row r="206" spans="1:119" ht="14.25" customHeight="1" x14ac:dyDescent="0.2">
      <c r="A206" s="39" t="str">
        <f t="shared" si="66"/>
        <v>[1adc9501]|ETH|DeadZone|1H</v>
      </c>
      <c r="B206" s="42" t="s">
        <v>28</v>
      </c>
      <c r="C206" s="62">
        <f t="shared" si="77"/>
        <v>0.20274660830267635</v>
      </c>
      <c r="D206" s="42" t="s">
        <v>69</v>
      </c>
      <c r="E206" s="42" t="s">
        <v>46</v>
      </c>
      <c r="F206" s="42" t="s">
        <v>70</v>
      </c>
      <c r="G206" s="42" t="s">
        <v>52</v>
      </c>
      <c r="H206" s="2">
        <v>2000</v>
      </c>
      <c r="I206" s="2">
        <f t="shared" si="78"/>
        <v>420</v>
      </c>
      <c r="J206" s="24">
        <f t="shared" ref="J206:J207" si="80">I206</f>
        <v>420</v>
      </c>
      <c r="K206" s="1">
        <v>23</v>
      </c>
      <c r="L206" s="19">
        <f>33.14/3.94</f>
        <v>8.4111675126903549</v>
      </c>
      <c r="M206" s="12">
        <v>134</v>
      </c>
      <c r="N206" s="45">
        <v>45802</v>
      </c>
      <c r="O206" s="21">
        <f t="array" ref="O206">IFERROR(INDEX('Strategy Watchlist'!P:P,MATCH($A206,'Strategy Watchlist'!$A:$A,0)),"Not Found")</f>
        <v>0.51</v>
      </c>
      <c r="P206" s="21">
        <f t="array" ref="P206">IFERROR(INDEX('Strategy Watchlist'!Q:Q,MATCH($A206,'Strategy Watchlist'!$A:$A,0)),"Not Found")</f>
        <v>0.63</v>
      </c>
      <c r="Q206" s="21">
        <f t="array" ref="Q206">IFERROR(INDEX('Strategy Watchlist'!R:R,MATCH($A206,'Strategy Watchlist'!$A:$A,0)),"Not Found")</f>
        <v>4.53</v>
      </c>
      <c r="R206" s="21">
        <f t="array" ref="R206">IFERROR(INDEX('Strategy Watchlist'!S:S,MATCH($A206,'Strategy Watchlist'!$A:$A,0)),"Not Found")</f>
        <v>3.6</v>
      </c>
      <c r="S206" s="21">
        <f t="array" ref="S206">IFERROR(INDEX('Strategy Watchlist'!T:T,MATCH($A206,'Strategy Watchlist'!$A:$A,0)),"Not Found")</f>
        <v>1.0900000000000001</v>
      </c>
      <c r="T206" s="21">
        <f t="array" ref="T206">IFERROR(INDEX('Strategy Watchlist'!U:U,MATCH($A206,'Strategy Watchlist'!$A:$A,0)),"Not Found")</f>
        <v>2.31</v>
      </c>
      <c r="U206" s="21">
        <f t="array" ref="U206">IFERROR(INDEX('Strategy Watchlist'!V:V,MATCH($A206,'Strategy Watchlist'!$A:$A,0)),"Not Found")</f>
        <v>0.49</v>
      </c>
      <c r="V206" s="21">
        <f t="array" ref="V206">IFERROR(INDEX('Strategy Watchlist'!W:W,MATCH($A206,'Strategy Watchlist'!$A:$A,0)),"Not Found")</f>
        <v>-1.63</v>
      </c>
      <c r="W206" s="21">
        <f t="array" ref="W206">IFERROR(INDEX('Strategy Watchlist'!X:X,MATCH($A206,'Strategy Watchlist'!$A:$A,0)),"Not Found")</f>
        <v>0.27</v>
      </c>
      <c r="X206" s="21">
        <f t="array" ref="X206">IFERROR(INDEX('Strategy Watchlist'!Y:Y,MATCH($A206,'Strategy Watchlist'!$A:$A,0)),"Not Found")</f>
        <v>2.35</v>
      </c>
      <c r="Y206" s="102" t="str">
        <f t="array" ref="Y206">IFERROR(INDEX('Strategy Watchlist'!Z:Z,MATCH($A206,'Strategy Watchlist'!$A:$A,0)),"Not Found")</f>
        <v>https://www.tradingview.com/chart/P8n5vn8V/</v>
      </c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39" t="str">
        <f t="shared" si="79"/>
        <v>[1adc9501]|ETH|DeadZone|1H</v>
      </c>
      <c r="AV206" s="42" t="s">
        <v>62</v>
      </c>
      <c r="AW206" s="17"/>
      <c r="AX206" s="42" t="s">
        <v>69</v>
      </c>
      <c r="AY206" s="42" t="s">
        <v>46</v>
      </c>
      <c r="AZ206" s="42" t="s">
        <v>70</v>
      </c>
      <c r="BA206" s="42" t="s">
        <v>52</v>
      </c>
      <c r="BB206" s="19"/>
      <c r="BC206" s="19"/>
      <c r="BD206" s="19"/>
      <c r="BE206" s="19"/>
      <c r="BF206" s="19">
        <f>33.14/3.94</f>
        <v>8.4111675126903549</v>
      </c>
      <c r="BG206" s="46">
        <v>134</v>
      </c>
      <c r="BH206" s="45">
        <v>45802</v>
      </c>
      <c r="BI206" s="21">
        <v>1.19</v>
      </c>
      <c r="BJ206" s="21">
        <v>0.63</v>
      </c>
      <c r="BK206" s="21">
        <v>4.53</v>
      </c>
      <c r="BL206" s="21">
        <v>3.6</v>
      </c>
      <c r="BM206" s="21">
        <v>1.0900000000000001</v>
      </c>
      <c r="BN206" s="21">
        <v>2.31</v>
      </c>
      <c r="BO206" s="21">
        <v>0.49</v>
      </c>
      <c r="BP206" s="21">
        <v>-1.63</v>
      </c>
      <c r="BQ206" s="21">
        <v>0.27</v>
      </c>
      <c r="BR206" s="21">
        <v>2.35</v>
      </c>
      <c r="BS206" s="47" t="s">
        <v>71</v>
      </c>
      <c r="BT206" s="42"/>
      <c r="BU206" s="42"/>
      <c r="BV206" s="42"/>
      <c r="BW206" s="42"/>
      <c r="BX206" s="42"/>
      <c r="BY206" s="42"/>
      <c r="BZ206" s="42"/>
      <c r="CA206" s="42"/>
      <c r="CB206" s="42"/>
      <c r="CC206" s="42"/>
      <c r="CD206" s="42"/>
      <c r="CE206" s="42"/>
      <c r="CF206" s="42"/>
      <c r="CG206" s="42"/>
      <c r="CH206" s="42"/>
      <c r="CI206" s="42"/>
      <c r="CJ206" s="42"/>
      <c r="CK206" s="42"/>
      <c r="CL206" s="42"/>
      <c r="CM206" s="42"/>
      <c r="CN206" s="42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</row>
    <row r="207" spans="1:119" ht="14.25" customHeight="1" x14ac:dyDescent="0.2">
      <c r="A207" s="17" t="str">
        <f t="shared" si="66"/>
        <v>[0c4624b7]|SOL|volVangard|30m</v>
      </c>
      <c r="B207" s="1" t="s">
        <v>28</v>
      </c>
      <c r="C207" s="62">
        <f t="shared" si="77"/>
        <v>0.30411991245401454</v>
      </c>
      <c r="D207" s="1" t="s">
        <v>42</v>
      </c>
      <c r="E207" s="1" t="s">
        <v>43</v>
      </c>
      <c r="F207" s="1" t="s">
        <v>44</v>
      </c>
      <c r="G207" s="1" t="s">
        <v>38</v>
      </c>
      <c r="H207" s="2">
        <v>3000</v>
      </c>
      <c r="I207" s="2">
        <f t="shared" si="78"/>
        <v>630</v>
      </c>
      <c r="J207" s="24">
        <f t="shared" si="80"/>
        <v>630</v>
      </c>
      <c r="K207" s="1">
        <v>30</v>
      </c>
      <c r="L207" s="19">
        <f t="array" ref="L207">IFERROR(INDEX('Strategy Watchlist'!L:L,MATCH($A207,'Strategy Watchlist'!$A:$A,0)),"Not Found")</f>
        <v>9.533219761499149</v>
      </c>
      <c r="M207" s="12">
        <f t="array" ref="M207">IFERROR(INDEX('Strategy Watchlist'!M:M,MATCH($A207,'Strategy Watchlist'!$A:$A,0)),"Not Found")</f>
        <v>118</v>
      </c>
      <c r="N207" s="20">
        <f t="array" ref="N207">IFERROR(INDEX('Strategy Watchlist'!N:N,MATCH($A207,'Strategy Watchlist'!$A:$A,0)),"Not Found")</f>
        <v>45772</v>
      </c>
      <c r="O207" s="21">
        <f t="array" ref="O207">IFERROR(INDEX('Strategy Watchlist'!P:P,MATCH($A207,'Strategy Watchlist'!$A:$A,0)),"Not Found")</f>
        <v>-0.99</v>
      </c>
      <c r="P207" s="21">
        <f t="array" ref="P207">IFERROR(INDEX('Strategy Watchlist'!Q:Q,MATCH($A207,'Strategy Watchlist'!$A:$A,0)),"Not Found")</f>
        <v>4.09</v>
      </c>
      <c r="Q207" s="21">
        <f t="array" ref="Q207">IFERROR(INDEX('Strategy Watchlist'!R:R,MATCH($A207,'Strategy Watchlist'!$A:$A,0)),"Not Found")</f>
        <v>0.37</v>
      </c>
      <c r="R207" s="21">
        <f t="array" ref="R207">IFERROR(INDEX('Strategy Watchlist'!S:S,MATCH($A207,'Strategy Watchlist'!$A:$A,0)),"Not Found")</f>
        <v>-3.58</v>
      </c>
      <c r="S207" s="21">
        <f t="array" ref="S207">IFERROR(INDEX('Strategy Watchlist'!T:T,MATCH($A207,'Strategy Watchlist'!$A:$A,0)),"Not Found")</f>
        <v>6.51</v>
      </c>
      <c r="T207" s="21">
        <f t="array" ref="T207">IFERROR(INDEX('Strategy Watchlist'!U:U,MATCH($A207,'Strategy Watchlist'!$A:$A,0)),"Not Found")</f>
        <v>-0.43</v>
      </c>
      <c r="U207" s="21">
        <f t="array" ref="U207">IFERROR(INDEX('Strategy Watchlist'!V:V,MATCH($A207,'Strategy Watchlist'!$A:$A,0)),"Not Found")</f>
        <v>5.78</v>
      </c>
      <c r="V207" s="21">
        <f t="array" ref="V207">IFERROR(INDEX('Strategy Watchlist'!W:W,MATCH($A207,'Strategy Watchlist'!$A:$A,0)),"Not Found")</f>
        <v>-0.64</v>
      </c>
      <c r="W207" s="21">
        <f t="array" ref="W207">IFERROR(INDEX('Strategy Watchlist'!X:X,MATCH($A207,'Strategy Watchlist'!$A:$A,0)),"Not Found")</f>
        <v>1.32</v>
      </c>
      <c r="X207" s="21">
        <f t="array" ref="X207">IFERROR(INDEX('Strategy Watchlist'!Y:Y,MATCH($A207,'Strategy Watchlist'!$A:$A,0)),"Not Found")</f>
        <v>0.33</v>
      </c>
      <c r="Y207" s="22" t="str">
        <f t="array" ref="Y207">IFERROR(INDEX('Strategy Watchlist'!Z:Z,MATCH($A207,'Strategy Watchlist'!$A:$A,0)),"Not Found")</f>
        <v>https://www.tradingview.com/chart/tJDJVri5/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</row>
    <row r="208" spans="1:119" ht="14.25" customHeight="1" x14ac:dyDescent="0.2">
      <c r="A208" s="17"/>
      <c r="B208" s="1"/>
      <c r="C208" s="1"/>
      <c r="D208" s="1"/>
      <c r="E208" s="1"/>
      <c r="F208" s="1"/>
      <c r="G208" s="1"/>
      <c r="H208" s="1"/>
      <c r="I208" s="2"/>
      <c r="J208" s="2"/>
      <c r="K208" s="1"/>
      <c r="L208" s="19"/>
      <c r="M208" s="4"/>
      <c r="N208" s="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</row>
    <row r="209" spans="1:119" ht="14.25" customHeight="1" x14ac:dyDescent="0.2">
      <c r="A209" s="17" t="str">
        <f>D209&amp;"|"&amp;E209&amp;"|"&amp;F209&amp;"|"&amp;G209</f>
        <v>3x|BTC|DCA|30m</v>
      </c>
      <c r="B209" s="1" t="s">
        <v>28</v>
      </c>
      <c r="C209" s="1"/>
      <c r="D209" s="18" t="s">
        <v>116</v>
      </c>
      <c r="E209" s="1" t="s">
        <v>73</v>
      </c>
      <c r="F209" s="1" t="s">
        <v>105</v>
      </c>
      <c r="G209" s="1" t="s">
        <v>38</v>
      </c>
      <c r="H209" s="2">
        <v>2832</v>
      </c>
      <c r="I209" s="18">
        <v>4</v>
      </c>
      <c r="J209" s="2">
        <f>H209*I209</f>
        <v>11328</v>
      </c>
      <c r="K209" s="1"/>
      <c r="L209" s="19"/>
      <c r="M209" s="24"/>
      <c r="N209" s="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</row>
    <row r="210" spans="1:119" ht="14.25" customHeight="1" x14ac:dyDescent="0.2">
      <c r="A210" s="17"/>
      <c r="B210" s="1"/>
      <c r="C210" s="1"/>
      <c r="D210" s="18"/>
      <c r="E210" s="1"/>
      <c r="F210" s="1"/>
      <c r="G210" s="1"/>
      <c r="H210" s="2"/>
      <c r="I210" s="18"/>
      <c r="J210" s="2"/>
      <c r="K210" s="1"/>
      <c r="L210" s="19"/>
      <c r="M210" s="24"/>
      <c r="N210" s="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</row>
    <row r="211" spans="1:119" ht="14.25" customHeight="1" x14ac:dyDescent="0.2">
      <c r="A211" s="17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9"/>
      <c r="M211" s="4"/>
      <c r="N211" s="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</row>
    <row r="212" spans="1:119" ht="14.25" customHeight="1" x14ac:dyDescent="0.2">
      <c r="A212" s="5" t="str">
        <f t="shared" ref="A212:A231" si="81">D212&amp;"|"&amp;E212&amp;"|"&amp;F212&amp;"|"&amp;G212</f>
        <v>|68170||</v>
      </c>
      <c r="B212" s="5" t="s">
        <v>128</v>
      </c>
      <c r="C212" s="5"/>
      <c r="D212" s="5"/>
      <c r="E212" s="5">
        <v>68170</v>
      </c>
      <c r="F212" s="5"/>
      <c r="G212" s="5"/>
      <c r="H212" s="5"/>
      <c r="I212" s="6"/>
      <c r="J212" s="6"/>
      <c r="K212" s="5"/>
      <c r="L212" s="6"/>
      <c r="M212" s="5"/>
      <c r="N212" s="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</row>
    <row r="213" spans="1:119" ht="14.25" customHeight="1" x14ac:dyDescent="0.2">
      <c r="A213" s="8" t="str">
        <f t="shared" si="81"/>
        <v>[17ab2738]|ARB|stiff Surge|45m</v>
      </c>
      <c r="B213" s="8" t="s">
        <v>28</v>
      </c>
      <c r="C213" s="9">
        <f t="shared" ref="C213:C227" si="82">H213/$E$212</f>
        <v>0.33739181458119405</v>
      </c>
      <c r="D213" s="8" t="s">
        <v>29</v>
      </c>
      <c r="E213" s="8" t="s">
        <v>30</v>
      </c>
      <c r="F213" s="8" t="s">
        <v>31</v>
      </c>
      <c r="G213" s="8" t="s">
        <v>32</v>
      </c>
      <c r="H213" s="10">
        <v>23000</v>
      </c>
      <c r="I213" s="10">
        <f t="shared" ref="I213:I227" si="83">H213*0.21</f>
        <v>4830</v>
      </c>
      <c r="J213" s="10">
        <f>J182*5</f>
        <v>5250</v>
      </c>
      <c r="K213" s="8">
        <v>260</v>
      </c>
      <c r="L213" s="11">
        <f t="array" ref="L213">IFERROR(INDEX('Strategy Watchlist'!L:L,MATCH($A213,'Strategy Watchlist'!$A:$A,0)),"Not Found")</f>
        <v>10.965644171779141</v>
      </c>
      <c r="M213" s="12">
        <f t="array" ref="M213">IFERROR(INDEX('Strategy Watchlist'!M:M,MATCH($A213,'Strategy Watchlist'!$A:$A,0)),"Not Found")</f>
        <v>824</v>
      </c>
      <c r="N213" s="13">
        <f t="array" ref="N213">IFERROR(INDEX('Strategy Watchlist'!N:N,MATCH($A213,'Strategy Watchlist'!$A:$A,0)),"Not Found")</f>
        <v>45689</v>
      </c>
      <c r="O213" s="14">
        <f t="array" ref="O213">IFERROR(INDEX('Strategy Watchlist'!P:P,MATCH($A213,'Strategy Watchlist'!$A:$A,0)),"Not Found")</f>
        <v>-1.7</v>
      </c>
      <c r="P213" s="14">
        <f t="array" ref="P213">IFERROR(INDEX('Strategy Watchlist'!Q:Q,MATCH($A213,'Strategy Watchlist'!$A:$A,0)),"Not Found")</f>
        <v>-6.85</v>
      </c>
      <c r="Q213" s="14">
        <f t="array" ref="Q213">IFERROR(INDEX('Strategy Watchlist'!R:R,MATCH($A213,'Strategy Watchlist'!$A:$A,0)),"Not Found")</f>
        <v>1.99</v>
      </c>
      <c r="R213" s="14">
        <f t="array" ref="R213">IFERROR(INDEX('Strategy Watchlist'!S:S,MATCH($A213,'Strategy Watchlist'!$A:$A,0)),"Not Found")</f>
        <v>6.96</v>
      </c>
      <c r="S213" s="14">
        <f t="array" ref="S213">IFERROR(INDEX('Strategy Watchlist'!T:T,MATCH($A213,'Strategy Watchlist'!$A:$A,0)),"Not Found")</f>
        <v>8.0739999999999998</v>
      </c>
      <c r="T213" s="14">
        <f t="array" ref="T213">IFERROR(INDEX('Strategy Watchlist'!U:U,MATCH($A213,'Strategy Watchlist'!$A:$A,0)),"Not Found")</f>
        <v>11.5</v>
      </c>
      <c r="U213" s="14">
        <f t="array" ref="U213">IFERROR(INDEX('Strategy Watchlist'!V:V,MATCH($A213,'Strategy Watchlist'!$A:$A,0)),"Not Found")</f>
        <v>2.75</v>
      </c>
      <c r="V213" s="14">
        <f t="array" ref="V213">IFERROR(INDEX('Strategy Watchlist'!W:W,MATCH($A213,'Strategy Watchlist'!$A:$A,0)),"Not Found")</f>
        <v>2.57</v>
      </c>
      <c r="W213" s="14">
        <f t="array" ref="W213">IFERROR(INDEX('Strategy Watchlist'!X:X,MATCH($A213,'Strategy Watchlist'!$A:$A,0)),"Not Found")</f>
        <v>6.31</v>
      </c>
      <c r="X213" s="14">
        <f t="array" ref="X213">IFERROR(INDEX('Strategy Watchlist'!Y:Y,MATCH($A213,'Strategy Watchlist'!$A:$A,0)),"Not Found")</f>
        <v>7.91</v>
      </c>
      <c r="Y213" s="15" t="str">
        <f t="array" ref="Y213">IFERROR(INDEX('Strategy Watchlist'!Z:Z,MATCH($A213,'Strategy Watchlist'!$A:$A,0)),"Not Found")</f>
        <v>https://www.tradingview.com/chart/EjQUtmuc/</v>
      </c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</row>
    <row r="214" spans="1:119" ht="14.25" customHeight="1" x14ac:dyDescent="0.2">
      <c r="A214" s="17" t="str">
        <f t="shared" si="81"/>
        <v>|DOGE|MACD|45m</v>
      </c>
      <c r="B214" s="17" t="s">
        <v>28</v>
      </c>
      <c r="C214" s="43">
        <f t="shared" si="82"/>
        <v>0.14669209329617133</v>
      </c>
      <c r="D214" s="17"/>
      <c r="E214" s="17" t="s">
        <v>33</v>
      </c>
      <c r="F214" s="17" t="s">
        <v>34</v>
      </c>
      <c r="G214" s="17" t="s">
        <v>32</v>
      </c>
      <c r="H214" s="24">
        <v>10000</v>
      </c>
      <c r="I214" s="24">
        <f t="shared" si="83"/>
        <v>2100</v>
      </c>
      <c r="J214" s="24">
        <f>J183*6</f>
        <v>4500</v>
      </c>
      <c r="K214" s="17">
        <v>150</v>
      </c>
      <c r="L214" s="19">
        <f t="array" ref="L214">IFERROR(INDEX('Strategy Watchlist'!L:L,MATCH($A214,'Strategy Watchlist'!$A:$A,0)),"Not Found")</f>
        <v>6.8331771321462043</v>
      </c>
      <c r="M214" s="12">
        <f t="array" ref="M214">IFERROR(INDEX('Strategy Watchlist'!M:M,MATCH($A214,'Strategy Watchlist'!$A:$A,0)),"Not Found")</f>
        <v>147</v>
      </c>
      <c r="N214" s="20">
        <f t="array" ref="N214">IFERROR(INDEX('Strategy Watchlist'!N:N,MATCH($A214,'Strategy Watchlist'!$A:$A,0)),"Not Found")</f>
        <v>45662</v>
      </c>
      <c r="O214" s="21">
        <f t="array" ref="O214">IFERROR(INDEX('Strategy Watchlist'!P:P,MATCH($A214,'Strategy Watchlist'!$A:$A,0)),"Not Found")</f>
        <v>-3.88</v>
      </c>
      <c r="P214" s="21">
        <f t="array" ref="P214">IFERROR(INDEX('Strategy Watchlist'!Q:Q,MATCH($A214,'Strategy Watchlist'!$A:$A,0)),"Not Found")</f>
        <v>5.91</v>
      </c>
      <c r="Q214" s="21">
        <f t="array" ref="Q214">IFERROR(INDEX('Strategy Watchlist'!R:R,MATCH($A214,'Strategy Watchlist'!$A:$A,0)),"Not Found")</f>
        <v>-0.08</v>
      </c>
      <c r="R214" s="21">
        <f t="array" ref="R214">IFERROR(INDEX('Strategy Watchlist'!S:S,MATCH($A214,'Strategy Watchlist'!$A:$A,0)),"Not Found")</f>
        <v>4.72</v>
      </c>
      <c r="S214" s="21">
        <f t="array" ref="S214">IFERROR(INDEX('Strategy Watchlist'!T:T,MATCH($A214,'Strategy Watchlist'!$A:$A,0)),"Not Found")</f>
        <v>8.93</v>
      </c>
      <c r="T214" s="21">
        <f t="array" ref="T214">IFERROR(INDEX('Strategy Watchlist'!U:U,MATCH($A214,'Strategy Watchlist'!$A:$A,0)),"Not Found")</f>
        <v>2.69</v>
      </c>
      <c r="U214" s="21">
        <f t="array" ref="U214">IFERROR(INDEX('Strategy Watchlist'!V:V,MATCH($A214,'Strategy Watchlist'!$A:$A,0)),"Not Found")</f>
        <v>2.04</v>
      </c>
      <c r="V214" s="21">
        <f t="array" ref="V214">IFERROR(INDEX('Strategy Watchlist'!W:W,MATCH($A214,'Strategy Watchlist'!$A:$A,0)),"Not Found")</f>
        <v>5.31</v>
      </c>
      <c r="W214" s="21">
        <f t="array" ref="W214">IFERROR(INDEX('Strategy Watchlist'!X:X,MATCH($A214,'Strategy Watchlist'!$A:$A,0)),"Not Found")</f>
        <v>0.72</v>
      </c>
      <c r="X214" s="21">
        <f t="array" ref="X214">IFERROR(INDEX('Strategy Watchlist'!Y:Y,MATCH($A214,'Strategy Watchlist'!$A:$A,0)),"Not Found")</f>
        <v>3.27</v>
      </c>
      <c r="Y214" s="22" t="str">
        <f t="array" ref="Y214">IFERROR(INDEX('Strategy Watchlist'!Z:Z,MATCH($A214,'Strategy Watchlist'!$A:$A,0)),"Not Found")</f>
        <v>https://www.tradingview.com/chart/Dvd9vGt5/</v>
      </c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</row>
    <row r="215" spans="1:119" ht="14.25" customHeight="1" x14ac:dyDescent="0.2">
      <c r="A215" s="17" t="str">
        <f t="shared" si="81"/>
        <v>[e92283ec]|HBAR|Heiken-Ashi|30m</v>
      </c>
      <c r="B215" s="1" t="s">
        <v>28</v>
      </c>
      <c r="C215" s="18">
        <f t="shared" si="82"/>
        <v>0.17603051195540562</v>
      </c>
      <c r="D215" s="1" t="s">
        <v>35</v>
      </c>
      <c r="E215" s="1" t="s">
        <v>36</v>
      </c>
      <c r="F215" s="1" t="s">
        <v>37</v>
      </c>
      <c r="G215" s="1" t="s">
        <v>38</v>
      </c>
      <c r="H215" s="2">
        <v>12000</v>
      </c>
      <c r="I215" s="2">
        <f t="shared" si="83"/>
        <v>2520</v>
      </c>
      <c r="J215" s="2">
        <v>2520</v>
      </c>
      <c r="K215" s="1">
        <v>120</v>
      </c>
      <c r="L215" s="19">
        <f t="array" ref="L215">IFERROR(INDEX('Strategy Watchlist'!L:L,MATCH($A215,'Strategy Watchlist'!$A:$A,0)),"Not Found")</f>
        <v>6.7744000000000009</v>
      </c>
      <c r="M215" s="12">
        <f t="array" ref="M215">IFERROR(INDEX('Strategy Watchlist'!M:M,MATCH($A215,'Strategy Watchlist'!$A:$A,0)),"Not Found")</f>
        <v>224</v>
      </c>
      <c r="N215" s="20">
        <f t="array" ref="N215">IFERROR(INDEX('Strategy Watchlist'!N:N,MATCH($A215,'Strategy Watchlist'!$A:$A,0)),"Not Found")</f>
        <v>45833</v>
      </c>
      <c r="O215" s="21">
        <f t="array" ref="O215">IFERROR(INDEX('Strategy Watchlist'!P:P,MATCH($A215,'Strategy Watchlist'!$A:$A,0)),"Not Found")</f>
        <v>1.01</v>
      </c>
      <c r="P215" s="21">
        <f t="array" ref="P215">IFERROR(INDEX('Strategy Watchlist'!Q:Q,MATCH($A215,'Strategy Watchlist'!$A:$A,0)),"Not Found")</f>
        <v>-1.1499999999999999</v>
      </c>
      <c r="Q215" s="21">
        <f t="array" ref="Q215">IFERROR(INDEX('Strategy Watchlist'!R:R,MATCH($A215,'Strategy Watchlist'!$A:$A,0)),"Not Found")</f>
        <v>0.83</v>
      </c>
      <c r="R215" s="21">
        <f t="array" ref="R215">IFERROR(INDEX('Strategy Watchlist'!S:S,MATCH($A215,'Strategy Watchlist'!$A:$A,0)),"Not Found")</f>
        <v>1.52</v>
      </c>
      <c r="S215" s="21">
        <f t="array" ref="S215">IFERROR(INDEX('Strategy Watchlist'!T:T,MATCH($A215,'Strategy Watchlist'!$A:$A,0)),"Not Found")</f>
        <v>-0.03</v>
      </c>
      <c r="T215" s="21">
        <f t="array" ref="T215">IFERROR(INDEX('Strategy Watchlist'!U:U,MATCH($A215,'Strategy Watchlist'!$A:$A,0)),"Not Found")</f>
        <v>4.38</v>
      </c>
      <c r="U215" s="21">
        <f t="array" ref="U215">IFERROR(INDEX('Strategy Watchlist'!V:V,MATCH($A215,'Strategy Watchlist'!$A:$A,0)),"Not Found")</f>
        <v>1.95</v>
      </c>
      <c r="V215" s="21">
        <f t="array" ref="V215">IFERROR(INDEX('Strategy Watchlist'!W:W,MATCH($A215,'Strategy Watchlist'!$A:$A,0)),"Not Found")</f>
        <v>1.98</v>
      </c>
      <c r="W215" s="21">
        <f t="array" ref="W215">IFERROR(INDEX('Strategy Watchlist'!X:X,MATCH($A215,'Strategy Watchlist'!$A:$A,0)),"Not Found")</f>
        <v>4.59</v>
      </c>
      <c r="X215" s="21">
        <f t="array" ref="X215">IFERROR(INDEX('Strategy Watchlist'!Y:Y,MATCH($A215,'Strategy Watchlist'!$A:$A,0)),"Not Found")</f>
        <v>-1.3</v>
      </c>
      <c r="Y215" s="22" t="str">
        <f t="array" ref="Y215">IFERROR(INDEX('Strategy Watchlist'!Z:Z,MATCH($A215,'Strategy Watchlist'!$A:$A,0)),"Not Found")</f>
        <v>https://www.tradingview.com/chart/ygHXwF84/</v>
      </c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</row>
    <row r="216" spans="1:119" ht="14.25" customHeight="1" x14ac:dyDescent="0.2">
      <c r="A216" s="17" t="str">
        <f t="shared" si="81"/>
        <v>[f80d2657]|PePe|JP Trend|30m</v>
      </c>
      <c r="B216" s="1" t="s">
        <v>28</v>
      </c>
      <c r="C216" s="18">
        <f t="shared" si="82"/>
        <v>0.220038139944257</v>
      </c>
      <c r="D216" s="1" t="s">
        <v>39</v>
      </c>
      <c r="E216" s="1" t="s">
        <v>40</v>
      </c>
      <c r="F216" s="1" t="s">
        <v>41</v>
      </c>
      <c r="G216" s="1" t="s">
        <v>38</v>
      </c>
      <c r="H216" s="2">
        <v>15000</v>
      </c>
      <c r="I216" s="2">
        <f t="shared" si="83"/>
        <v>3150</v>
      </c>
      <c r="J216" s="2">
        <f t="shared" ref="J216:K216" si="84">J185*6</f>
        <v>2520</v>
      </c>
      <c r="K216" s="1">
        <f t="shared" si="84"/>
        <v>120</v>
      </c>
      <c r="L216" s="19">
        <f t="array" ref="L216">IFERROR(INDEX('Strategy Watchlist'!L:L,MATCH($A216,'Strategy Watchlist'!$A:$A,0)),"Not Found")</f>
        <v>11.341645885286782</v>
      </c>
      <c r="M216" s="12">
        <f t="array" ref="M216">IFERROR(INDEX('Strategy Watchlist'!M:M,MATCH($A216,'Strategy Watchlist'!$A:$A,0)),"Not Found")</f>
        <v>302</v>
      </c>
      <c r="N216" s="20">
        <f t="array" ref="N216">IFERROR(INDEX('Strategy Watchlist'!N:N,MATCH($A216,'Strategy Watchlist'!$A:$A,0)),"Not Found")</f>
        <v>45662</v>
      </c>
      <c r="O216" s="21">
        <f t="array" ref="O216">IFERROR(INDEX('Strategy Watchlist'!P:P,MATCH($A216,'Strategy Watchlist'!$A:$A,0)),"Not Found")</f>
        <v>3.05</v>
      </c>
      <c r="P216" s="21">
        <f t="array" ref="P216">IFERROR(INDEX('Strategy Watchlist'!Q:Q,MATCH($A216,'Strategy Watchlist'!$A:$A,0)),"Not Found")</f>
        <v>1.52</v>
      </c>
      <c r="Q216" s="21">
        <f t="array" ref="Q216">IFERROR(INDEX('Strategy Watchlist'!R:R,MATCH($A216,'Strategy Watchlist'!$A:$A,0)),"Not Found")</f>
        <v>-3.15</v>
      </c>
      <c r="R216" s="21">
        <f t="array" ref="R216">IFERROR(INDEX('Strategy Watchlist'!S:S,MATCH($A216,'Strategy Watchlist'!$A:$A,0)),"Not Found")</f>
        <v>2.2999999999999998</v>
      </c>
      <c r="S216" s="21">
        <f t="array" ref="S216">IFERROR(INDEX('Strategy Watchlist'!T:T,MATCH($A216,'Strategy Watchlist'!$A:$A,0)),"Not Found")</f>
        <v>-0.12</v>
      </c>
      <c r="T216" s="21">
        <f t="array" ref="T216">IFERROR(INDEX('Strategy Watchlist'!U:U,MATCH($A216,'Strategy Watchlist'!$A:$A,0)),"Not Found")</f>
        <v>5.69</v>
      </c>
      <c r="U216" s="21">
        <f t="array" ref="U216">IFERROR(INDEX('Strategy Watchlist'!V:V,MATCH($A216,'Strategy Watchlist'!$A:$A,0)),"Not Found")</f>
        <v>-1.33</v>
      </c>
      <c r="V216" s="21">
        <f t="array" ref="V216">IFERROR(INDEX('Strategy Watchlist'!W:W,MATCH($A216,'Strategy Watchlist'!$A:$A,0)),"Not Found")</f>
        <v>2.12</v>
      </c>
      <c r="W216" s="21">
        <f t="array" ref="W216">IFERROR(INDEX('Strategy Watchlist'!X:X,MATCH($A216,'Strategy Watchlist'!$A:$A,0)),"Not Found")</f>
        <v>3.07</v>
      </c>
      <c r="X216" s="21">
        <f t="array" ref="X216">IFERROR(INDEX('Strategy Watchlist'!Y:Y,MATCH($A216,'Strategy Watchlist'!$A:$A,0)),"Not Found")</f>
        <v>3.75</v>
      </c>
      <c r="Y216" s="22" t="str">
        <f t="array" ref="Y216">IFERROR(INDEX('Strategy Watchlist'!Z:Z,MATCH($A216,'Strategy Watchlist'!$A:$A,0)),"Not Found")</f>
        <v>https://www.tradingview.com/chart/uNPZ2spK/</v>
      </c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</row>
    <row r="217" spans="1:119" ht="14.25" customHeight="1" x14ac:dyDescent="0.2">
      <c r="A217" s="17" t="str">
        <f t="shared" si="81"/>
        <v>[0c4624b7]|SOL|volVangard|30m</v>
      </c>
      <c r="B217" s="1" t="s">
        <v>28</v>
      </c>
      <c r="C217" s="18">
        <f t="shared" si="82"/>
        <v>0.14669209329617133</v>
      </c>
      <c r="D217" s="1" t="s">
        <v>42</v>
      </c>
      <c r="E217" s="1" t="s">
        <v>43</v>
      </c>
      <c r="F217" s="1" t="s">
        <v>44</v>
      </c>
      <c r="G217" s="1" t="s">
        <v>38</v>
      </c>
      <c r="H217" s="2">
        <v>10000</v>
      </c>
      <c r="I217" s="2">
        <f t="shared" si="83"/>
        <v>2100</v>
      </c>
      <c r="J217" s="2">
        <f>J207*9</f>
        <v>5670</v>
      </c>
      <c r="K217" s="2">
        <v>120</v>
      </c>
      <c r="L217" s="19">
        <f t="array" ref="L217">IFERROR(INDEX('Strategy Watchlist'!L:L,MATCH($A217,'Strategy Watchlist'!$A:$A,0)),"Not Found")</f>
        <v>9.533219761499149</v>
      </c>
      <c r="M217" s="12">
        <f t="array" ref="M217">IFERROR(INDEX('Strategy Watchlist'!M:M,MATCH($A217,'Strategy Watchlist'!$A:$A,0)),"Not Found")</f>
        <v>118</v>
      </c>
      <c r="N217" s="20">
        <f t="array" ref="N217">IFERROR(INDEX('Strategy Watchlist'!N:N,MATCH($A217,'Strategy Watchlist'!$A:$A,0)),"Not Found")</f>
        <v>45772</v>
      </c>
      <c r="O217" s="21">
        <f t="array" ref="O217">IFERROR(INDEX('Strategy Watchlist'!P:P,MATCH($A217,'Strategy Watchlist'!$A:$A,0)),"Not Found")</f>
        <v>-0.99</v>
      </c>
      <c r="P217" s="21">
        <f t="array" ref="P217">IFERROR(INDEX('Strategy Watchlist'!Q:Q,MATCH($A217,'Strategy Watchlist'!$A:$A,0)),"Not Found")</f>
        <v>4.09</v>
      </c>
      <c r="Q217" s="21">
        <f t="array" ref="Q217">IFERROR(INDEX('Strategy Watchlist'!R:R,MATCH($A217,'Strategy Watchlist'!$A:$A,0)),"Not Found")</f>
        <v>0.37</v>
      </c>
      <c r="R217" s="21">
        <f t="array" ref="R217">IFERROR(INDEX('Strategy Watchlist'!S:S,MATCH($A217,'Strategy Watchlist'!$A:$A,0)),"Not Found")</f>
        <v>-3.58</v>
      </c>
      <c r="S217" s="21">
        <f t="array" ref="S217">IFERROR(INDEX('Strategy Watchlist'!T:T,MATCH($A217,'Strategy Watchlist'!$A:$A,0)),"Not Found")</f>
        <v>6.51</v>
      </c>
      <c r="T217" s="21">
        <f t="array" ref="T217">IFERROR(INDEX('Strategy Watchlist'!U:U,MATCH($A217,'Strategy Watchlist'!$A:$A,0)),"Not Found")</f>
        <v>-0.43</v>
      </c>
      <c r="U217" s="21">
        <f t="array" ref="U217">IFERROR(INDEX('Strategy Watchlist'!V:V,MATCH($A217,'Strategy Watchlist'!$A:$A,0)),"Not Found")</f>
        <v>5.78</v>
      </c>
      <c r="V217" s="21">
        <f t="array" ref="V217">IFERROR(INDEX('Strategy Watchlist'!W:W,MATCH($A217,'Strategy Watchlist'!$A:$A,0)),"Not Found")</f>
        <v>-0.64</v>
      </c>
      <c r="W217" s="21">
        <f t="array" ref="W217">IFERROR(INDEX('Strategy Watchlist'!X:X,MATCH($A217,'Strategy Watchlist'!$A:$A,0)),"Not Found")</f>
        <v>1.32</v>
      </c>
      <c r="X217" s="21">
        <f t="array" ref="X217">IFERROR(INDEX('Strategy Watchlist'!Y:Y,MATCH($A217,'Strategy Watchlist'!$A:$A,0)),"Not Found")</f>
        <v>0.33</v>
      </c>
      <c r="Y217" s="22" t="str">
        <f t="array" ref="Y217">IFERROR(INDEX('Strategy Watchlist'!Z:Z,MATCH($A217,'Strategy Watchlist'!$A:$A,0)),"Not Found")</f>
        <v>https://www.tradingview.com/chart/tJDJVri5/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</row>
    <row r="218" spans="1:119" ht="14.25" customHeight="1" x14ac:dyDescent="0.2">
      <c r="A218" s="17" t="str">
        <f t="shared" si="81"/>
        <v>[a9aeb4cc]|ETH|McGinley|90m</v>
      </c>
      <c r="B218" s="1" t="s">
        <v>28</v>
      </c>
      <c r="C218" s="18">
        <f t="shared" si="82"/>
        <v>0.33739181458119405</v>
      </c>
      <c r="D218" s="1" t="s">
        <v>45</v>
      </c>
      <c r="E218" s="1" t="s">
        <v>46</v>
      </c>
      <c r="F218" s="1" t="s">
        <v>47</v>
      </c>
      <c r="G218" s="1" t="s">
        <v>48</v>
      </c>
      <c r="H218" s="2">
        <v>23000</v>
      </c>
      <c r="I218" s="2">
        <f t="shared" si="83"/>
        <v>4830</v>
      </c>
      <c r="J218" s="2">
        <f>J187*6</f>
        <v>6000</v>
      </c>
      <c r="K218" s="1">
        <v>160</v>
      </c>
      <c r="L218" s="19">
        <f t="array" ref="L218">IFERROR(INDEX('Strategy Watchlist'!L:L,MATCH($A218,'Strategy Watchlist'!$A:$A,0)),"Not Found")</f>
        <v>7.4173228346456694</v>
      </c>
      <c r="M218" s="12">
        <f t="array" ref="M218">IFERROR(INDEX('Strategy Watchlist'!M:M,MATCH($A218,'Strategy Watchlist'!$A:$A,0)),"Not Found")</f>
        <v>72</v>
      </c>
      <c r="N218" s="20">
        <f t="array" ref="N218">IFERROR(INDEX('Strategy Watchlist'!N:N,MATCH($A218,'Strategy Watchlist'!$A:$A,0)),"Not Found")</f>
        <v>45772</v>
      </c>
      <c r="O218" s="21">
        <f t="array" ref="O218">IFERROR(INDEX('Strategy Watchlist'!P:P,MATCH($A218,'Strategy Watchlist'!$A:$A,0)),"Not Found")</f>
        <v>-0.43</v>
      </c>
      <c r="P218" s="21">
        <f t="array" ref="P218">IFERROR(INDEX('Strategy Watchlist'!Q:Q,MATCH($A218,'Strategy Watchlist'!$A:$A,0)),"Not Found")</f>
        <v>-0.39</v>
      </c>
      <c r="Q218" s="21">
        <f t="array" ref="Q218">IFERROR(INDEX('Strategy Watchlist'!R:R,MATCH($A218,'Strategy Watchlist'!$A:$A,0)),"Not Found")</f>
        <v>2.4500000000000002</v>
      </c>
      <c r="R218" s="21">
        <f t="array" ref="R218">IFERROR(INDEX('Strategy Watchlist'!S:S,MATCH($A218,'Strategy Watchlist'!$A:$A,0)),"Not Found")</f>
        <v>-0.24</v>
      </c>
      <c r="S218" s="21">
        <f t="array" ref="S218">IFERROR(INDEX('Strategy Watchlist'!T:T,MATCH($A218,'Strategy Watchlist'!$A:$A,0)),"Not Found")</f>
        <v>0.53</v>
      </c>
      <c r="T218" s="21">
        <f t="array" ref="T218">IFERROR(INDEX('Strategy Watchlist'!U:U,MATCH($A218,'Strategy Watchlist'!$A:$A,0)),"Not Found")</f>
        <v>2.38</v>
      </c>
      <c r="U218" s="21">
        <f t="array" ref="U218">IFERROR(INDEX('Strategy Watchlist'!V:V,MATCH($A218,'Strategy Watchlist'!$A:$A,0)),"Not Found")</f>
        <v>0.94</v>
      </c>
      <c r="V218" s="21">
        <f t="array" ref="V218">IFERROR(INDEX('Strategy Watchlist'!W:W,MATCH($A218,'Strategy Watchlist'!$A:$A,0)),"Not Found")</f>
        <v>0</v>
      </c>
      <c r="W218" s="21">
        <f t="array" ref="W218">IFERROR(INDEX('Strategy Watchlist'!X:X,MATCH($A218,'Strategy Watchlist'!$A:$A,0)),"Not Found")</f>
        <v>2.77</v>
      </c>
      <c r="X218" s="21">
        <f t="array" ref="X218">IFERROR(INDEX('Strategy Watchlist'!Y:Y,MATCH($A218,'Strategy Watchlist'!$A:$A,0)),"Not Found")</f>
        <v>-0.13</v>
      </c>
      <c r="Y218" s="22" t="str">
        <f t="array" ref="Y218">IFERROR(INDEX('Strategy Watchlist'!Z:Z,MATCH($A218,'Strategy Watchlist'!$A:$A,0)),"Not Found")</f>
        <v>https://www.tradingview.com/chart/dPRT8fSK/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</row>
    <row r="219" spans="1:119" ht="14.25" customHeight="1" x14ac:dyDescent="0.2">
      <c r="A219" s="17" t="str">
        <f t="shared" si="81"/>
        <v>[65caeaa0]|ROSE|WolfnBear|1H</v>
      </c>
      <c r="B219" s="1" t="s">
        <v>28</v>
      </c>
      <c r="C219" s="18">
        <f t="shared" si="82"/>
        <v>0.220038139944257</v>
      </c>
      <c r="D219" s="1" t="s">
        <v>49</v>
      </c>
      <c r="E219" s="1" t="s">
        <v>50</v>
      </c>
      <c r="F219" s="1" t="s">
        <v>51</v>
      </c>
      <c r="G219" s="1" t="s">
        <v>52</v>
      </c>
      <c r="H219" s="2">
        <v>15000</v>
      </c>
      <c r="I219" s="2">
        <f t="shared" si="83"/>
        <v>3150</v>
      </c>
      <c r="J219" s="2">
        <v>3200</v>
      </c>
      <c r="K219" s="1">
        <f t="shared" ref="K219:K220" si="85">K188*6</f>
        <v>144</v>
      </c>
      <c r="L219" s="19">
        <f t="array" ref="L219">IFERROR(INDEX('Strategy Watchlist'!L:L,MATCH($A219,'Strategy Watchlist'!$A:$A,0)),"Not Found")</f>
        <v>9.1257485029940124</v>
      </c>
      <c r="M219" s="12">
        <f t="array" ref="M219">IFERROR(INDEX('Strategy Watchlist'!M:M,MATCH($A219,'Strategy Watchlist'!$A:$A,0)),"Not Found")</f>
        <v>172</v>
      </c>
      <c r="N219" s="20">
        <f t="array" ref="N219">IFERROR(INDEX('Strategy Watchlist'!N:N,MATCH($A219,'Strategy Watchlist'!$A:$A,0)),"Not Found")</f>
        <v>45682</v>
      </c>
      <c r="O219" s="21">
        <f t="array" ref="O219">IFERROR(INDEX('Strategy Watchlist'!P:P,MATCH($A219,'Strategy Watchlist'!$A:$A,0)),"Not Found")</f>
        <v>1.04</v>
      </c>
      <c r="P219" s="21">
        <f t="array" ref="P219">IFERROR(INDEX('Strategy Watchlist'!Q:Q,MATCH($A219,'Strategy Watchlist'!$A:$A,0)),"Not Found")</f>
        <v>2.39</v>
      </c>
      <c r="Q219" s="21">
        <f t="array" ref="Q219">IFERROR(INDEX('Strategy Watchlist'!R:R,MATCH($A219,'Strategy Watchlist'!$A:$A,0)),"Not Found")</f>
        <v>0.38</v>
      </c>
      <c r="R219" s="21">
        <f t="array" ref="R219">IFERROR(INDEX('Strategy Watchlist'!S:S,MATCH($A219,'Strategy Watchlist'!$A:$A,0)),"Not Found")</f>
        <v>1.76</v>
      </c>
      <c r="S219" s="21">
        <f t="array" ref="S219">IFERROR(INDEX('Strategy Watchlist'!T:T,MATCH($A219,'Strategy Watchlist'!$A:$A,0)),"Not Found")</f>
        <v>0.72</v>
      </c>
      <c r="T219" s="21">
        <f t="array" ref="T219">IFERROR(INDEX('Strategy Watchlist'!U:U,MATCH($A219,'Strategy Watchlist'!$A:$A,0)),"Not Found")</f>
        <v>-0.84</v>
      </c>
      <c r="U219" s="21">
        <f t="array" ref="U219">IFERROR(INDEX('Strategy Watchlist'!V:V,MATCH($A219,'Strategy Watchlist'!$A:$A,0)),"Not Found")</f>
        <v>-0.24</v>
      </c>
      <c r="V219" s="21">
        <f t="array" ref="V219">IFERROR(INDEX('Strategy Watchlist'!W:W,MATCH($A219,'Strategy Watchlist'!$A:$A,0)),"Not Found")</f>
        <v>-1.19</v>
      </c>
      <c r="W219" s="21">
        <f t="array" ref="W219">IFERROR(INDEX('Strategy Watchlist'!X:X,MATCH($A219,'Strategy Watchlist'!$A:$A,0)),"Not Found")</f>
        <v>0.18</v>
      </c>
      <c r="X219" s="21">
        <f t="array" ref="X219">IFERROR(INDEX('Strategy Watchlist'!Y:Y,MATCH($A219,'Strategy Watchlist'!$A:$A,0)),"Not Found")</f>
        <v>2.34</v>
      </c>
      <c r="Y219" s="22" t="str">
        <f t="array" ref="Y219">IFERROR(INDEX('Strategy Watchlist'!Z:Z,MATCH($A219,'Strategy Watchlist'!$A:$A,0)),"Not Found")</f>
        <v>https://www.tradingview.com/chart/p2Bvj1LX/</v>
      </c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</row>
    <row r="220" spans="1:119" ht="14.25" customHeight="1" x14ac:dyDescent="0.2">
      <c r="A220" s="17" t="str">
        <f t="shared" si="81"/>
        <v>|APE|precisionTrend|30m</v>
      </c>
      <c r="B220" s="1" t="s">
        <v>28</v>
      </c>
      <c r="C220" s="18">
        <f t="shared" si="82"/>
        <v>0.220038139944257</v>
      </c>
      <c r="D220" s="1"/>
      <c r="E220" s="1" t="s">
        <v>53</v>
      </c>
      <c r="F220" s="1" t="s">
        <v>54</v>
      </c>
      <c r="G220" s="1" t="s">
        <v>38</v>
      </c>
      <c r="H220" s="2">
        <v>15000</v>
      </c>
      <c r="I220" s="2">
        <f t="shared" si="83"/>
        <v>3150</v>
      </c>
      <c r="J220" s="2">
        <v>2500</v>
      </c>
      <c r="K220" s="1">
        <f t="shared" si="85"/>
        <v>120</v>
      </c>
      <c r="L220" s="19">
        <f t="array" ref="L220">IFERROR(INDEX('Strategy Watchlist'!L:L,MATCH($A220,'Strategy Watchlist'!$A:$A,0)),"Not Found")</f>
        <v>4.1660424469413231</v>
      </c>
      <c r="M220" s="12">
        <f t="array" ref="M220">IFERROR(INDEX('Strategy Watchlist'!M:M,MATCH($A220,'Strategy Watchlist'!$A:$A,0)),"Not Found")</f>
        <v>278</v>
      </c>
      <c r="N220" s="20">
        <f t="array" ref="N220">IFERROR(INDEX('Strategy Watchlist'!N:N,MATCH($A220,'Strategy Watchlist'!$A:$A,0)),"Not Found")</f>
        <v>45778</v>
      </c>
      <c r="O220" s="21">
        <f t="array" ref="O220">IFERROR(INDEX('Strategy Watchlist'!P:P,MATCH($A220,'Strategy Watchlist'!$A:$A,0)),"Not Found")</f>
        <v>-0.99</v>
      </c>
      <c r="P220" s="21">
        <f t="array" ref="P220">IFERROR(INDEX('Strategy Watchlist'!Q:Q,MATCH($A220,'Strategy Watchlist'!$A:$A,0)),"Not Found")</f>
        <v>3</v>
      </c>
      <c r="Q220" s="21">
        <f t="array" ref="Q220">IFERROR(INDEX('Strategy Watchlist'!R:R,MATCH($A220,'Strategy Watchlist'!$A:$A,0)),"Not Found")</f>
        <v>1.66</v>
      </c>
      <c r="R220" s="21">
        <f t="array" ref="R220">IFERROR(INDEX('Strategy Watchlist'!S:S,MATCH($A220,'Strategy Watchlist'!$A:$A,0)),"Not Found")</f>
        <v>-2.79</v>
      </c>
      <c r="S220" s="21">
        <f t="array" ref="S220">IFERROR(INDEX('Strategy Watchlist'!T:T,MATCH($A220,'Strategy Watchlist'!$A:$A,0)),"Not Found")</f>
        <v>0.63</v>
      </c>
      <c r="T220" s="21">
        <f t="array" ref="T220">IFERROR(INDEX('Strategy Watchlist'!U:U,MATCH($A220,'Strategy Watchlist'!$A:$A,0)),"Not Found")</f>
        <v>6.17</v>
      </c>
      <c r="U220" s="21">
        <f t="array" ref="U220">IFERROR(INDEX('Strategy Watchlist'!V:V,MATCH($A220,'Strategy Watchlist'!$A:$A,0)),"Not Found")</f>
        <v>3.56</v>
      </c>
      <c r="V220" s="21">
        <f t="array" ref="V220">IFERROR(INDEX('Strategy Watchlist'!W:W,MATCH($A220,'Strategy Watchlist'!$A:$A,0)),"Not Found")</f>
        <v>0.87</v>
      </c>
      <c r="W220" s="21">
        <f t="array" ref="W220">IFERROR(INDEX('Strategy Watchlist'!X:X,MATCH($A220,'Strategy Watchlist'!$A:$A,0)),"Not Found")</f>
        <v>1.73</v>
      </c>
      <c r="X220" s="21">
        <f t="array" ref="X220">IFERROR(INDEX('Strategy Watchlist'!Y:Y,MATCH($A220,'Strategy Watchlist'!$A:$A,0)),"Not Found")</f>
        <v>3.54</v>
      </c>
      <c r="Y220" s="22" t="str">
        <f t="array" ref="Y220">IFERROR(INDEX('Strategy Watchlist'!Z:Z,MATCH($A220,'Strategy Watchlist'!$A:$A,0)),"Not Found")</f>
        <v>https://www.tradingview.com/chart/oDhEAePi/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</row>
    <row r="221" spans="1:119" x14ac:dyDescent="0.2">
      <c r="A221" s="17" t="str">
        <f t="shared" si="81"/>
        <v>[4a2ddf14]|AAVE|McGlinley|45m</v>
      </c>
      <c r="B221" s="1" t="s">
        <v>28</v>
      </c>
      <c r="C221" s="18">
        <f t="shared" si="82"/>
        <v>0.220038139944257</v>
      </c>
      <c r="D221" s="42" t="s">
        <v>89</v>
      </c>
      <c r="E221" s="42" t="s">
        <v>90</v>
      </c>
      <c r="F221" s="42" t="s">
        <v>91</v>
      </c>
      <c r="G221" s="42" t="s">
        <v>32</v>
      </c>
      <c r="H221" s="2">
        <v>15000</v>
      </c>
      <c r="I221" s="2">
        <f t="shared" si="83"/>
        <v>3150</v>
      </c>
      <c r="J221" s="2">
        <f t="shared" ref="J221:J227" si="86">I221</f>
        <v>3150</v>
      </c>
      <c r="K221" s="1">
        <v>160</v>
      </c>
      <c r="L221" s="19">
        <f t="array" ref="L221">IFERROR(INDEX('Strategy Watchlist'!L:L,MATCH($A221,'Strategy Watchlist'!$A:$A,0)),"Not Found")</f>
        <v>2.6694915254237288</v>
      </c>
      <c r="M221" s="12">
        <f t="array" ref="M221">IFERROR(INDEX('Strategy Watchlist'!M:M,MATCH($A221,'Strategy Watchlist'!$A:$A,0)),"Not Found")</f>
        <v>317</v>
      </c>
      <c r="N221" s="20">
        <f t="array" ref="N221">IFERROR(INDEX('Strategy Watchlist'!N:N,MATCH($A221,'Strategy Watchlist'!$A:$A,0)),"Not Found")</f>
        <v>45682</v>
      </c>
      <c r="O221" s="21">
        <f t="array" ref="O221">IFERROR(INDEX('Strategy Watchlist'!P:P,MATCH($A221,'Strategy Watchlist'!$A:$A,0)),"Not Found")</f>
        <v>2.66</v>
      </c>
      <c r="P221" s="19">
        <f t="array" ref="P221">IFERROR(INDEX('Strategy Watchlist'!Q:Q,MATCH($A221,'Strategy Watchlist'!$A:$A,0)),"Not Found")</f>
        <v>-0.85</v>
      </c>
      <c r="Q221" s="19">
        <f t="array" ref="Q221">IFERROR(INDEX('Strategy Watchlist'!R:R,MATCH($A221,'Strategy Watchlist'!$A:$A,0)),"Not Found")</f>
        <v>3.55</v>
      </c>
      <c r="R221" s="19">
        <f t="array" ref="R221">IFERROR(INDEX('Strategy Watchlist'!S:S,MATCH($A221,'Strategy Watchlist'!$A:$A,0)),"Not Found")</f>
        <v>1.77</v>
      </c>
      <c r="S221" s="19">
        <f t="array" ref="S221">IFERROR(INDEX('Strategy Watchlist'!T:T,MATCH($A221,'Strategy Watchlist'!$A:$A,0)),"Not Found")</f>
        <v>1.63</v>
      </c>
      <c r="T221" s="19">
        <f t="array" ref="T221">IFERROR(INDEX('Strategy Watchlist'!U:U,MATCH($A221,'Strategy Watchlist'!$A:$A,0)),"Not Found")</f>
        <v>-1.84</v>
      </c>
      <c r="U221" s="19">
        <f t="array" ref="U221">IFERROR(INDEX('Strategy Watchlist'!V:V,MATCH($A221,'Strategy Watchlist'!$A:$A,0)),"Not Found")</f>
        <v>0.2</v>
      </c>
      <c r="V221" s="19">
        <f t="array" ref="V221">IFERROR(INDEX('Strategy Watchlist'!W:W,MATCH($A221,'Strategy Watchlist'!$A:$A,0)),"Not Found")</f>
        <v>-1.49</v>
      </c>
      <c r="W221" s="19">
        <f t="array" ref="W221">IFERROR(INDEX('Strategy Watchlist'!X:X,MATCH($A221,'Strategy Watchlist'!$A:$A,0)),"Not Found")</f>
        <v>0</v>
      </c>
      <c r="X221" s="19">
        <f t="array" ref="X221">IFERROR(INDEX('Strategy Watchlist'!Y:Y,MATCH($A221,'Strategy Watchlist'!$A:$A,0)),"Not Found")</f>
        <v>0.28000000000000003</v>
      </c>
      <c r="Y221" s="22" t="str">
        <f t="array" ref="Y221">IFERROR(INDEX('Strategy Watchlist'!Z:Z,MATCH($A221,'Strategy Watchlist'!$A:$A,0)),"Not Found")</f>
        <v>https://www.tradingview.com/chart/Xt8Libni/</v>
      </c>
    </row>
    <row r="222" spans="1:119" ht="14.25" customHeight="1" x14ac:dyDescent="0.2">
      <c r="A222" s="17" t="str">
        <f t="shared" si="81"/>
        <v>[b39d1d6e]|PIXEL|WolfnBear|1H</v>
      </c>
      <c r="B222" s="1" t="s">
        <v>28</v>
      </c>
      <c r="C222" s="18">
        <f t="shared" si="82"/>
        <v>0.11735367463693706</v>
      </c>
      <c r="D222" s="58" t="s">
        <v>93</v>
      </c>
      <c r="E222" s="1" t="s">
        <v>94</v>
      </c>
      <c r="F222" s="1" t="s">
        <v>51</v>
      </c>
      <c r="G222" s="1" t="s">
        <v>52</v>
      </c>
      <c r="H222" s="2">
        <v>8000</v>
      </c>
      <c r="I222" s="40">
        <f t="shared" si="83"/>
        <v>1680</v>
      </c>
      <c r="J222" s="2">
        <f t="shared" si="86"/>
        <v>1680</v>
      </c>
      <c r="K222" s="2">
        <v>80</v>
      </c>
      <c r="L222" s="19">
        <f t="array" ref="L222">IFERROR(INDEX('Strategy Watchlist'!L:L,MATCH($A222,'Strategy Watchlist'!$A:$A,0)),"Not Found")</f>
        <v>6.7377398720682304</v>
      </c>
      <c r="M222" s="12">
        <f t="array" ref="M222">IFERROR(INDEX('Strategy Watchlist'!M:M,MATCH($A222,'Strategy Watchlist'!$A:$A,0)),"Not Found")</f>
        <v>124</v>
      </c>
      <c r="N222" s="20">
        <f t="array" ref="N222">IFERROR(INDEX('Strategy Watchlist'!N:N,MATCH($A222,'Strategy Watchlist'!$A:$A,0)),"Not Found")</f>
        <v>45833</v>
      </c>
      <c r="O222" s="21">
        <f t="array" ref="O222">IFERROR(INDEX('Strategy Watchlist'!P:P,MATCH($A222,'Strategy Watchlist'!$A:$A,0)),"Not Found")</f>
        <v>1.78</v>
      </c>
      <c r="P222" s="21">
        <f t="array" ref="P222">IFERROR(INDEX('Strategy Watchlist'!Q:Q,MATCH($A222,'Strategy Watchlist'!$A:$A,0)),"Not Found")</f>
        <v>-0.57999999999999996</v>
      </c>
      <c r="Q222" s="21">
        <f t="array" ref="Q222">IFERROR(INDEX('Strategy Watchlist'!R:R,MATCH($A222,'Strategy Watchlist'!$A:$A,0)),"Not Found")</f>
        <v>2.67</v>
      </c>
      <c r="R222" s="21">
        <f t="array" ref="R222">IFERROR(INDEX('Strategy Watchlist'!S:S,MATCH($A222,'Strategy Watchlist'!$A:$A,0)),"Not Found")</f>
        <v>4.07</v>
      </c>
      <c r="S222" s="21">
        <f t="array" ref="S222">IFERROR(INDEX('Strategy Watchlist'!T:T,MATCH($A222,'Strategy Watchlist'!$A:$A,0)),"Not Found")</f>
        <v>2.2999999999999998</v>
      </c>
      <c r="T222" s="21">
        <f t="array" ref="T222">IFERROR(INDEX('Strategy Watchlist'!U:U,MATCH($A222,'Strategy Watchlist'!$A:$A,0)),"Not Found")</f>
        <v>1.05</v>
      </c>
      <c r="U222" s="21">
        <f t="array" ref="U222">IFERROR(INDEX('Strategy Watchlist'!V:V,MATCH($A222,'Strategy Watchlist'!$A:$A,0)),"Not Found")</f>
        <v>-1.1299999999999999</v>
      </c>
      <c r="V222" s="21">
        <f t="array" ref="V222">IFERROR(INDEX('Strategy Watchlist'!W:W,MATCH($A222,'Strategy Watchlist'!$A:$A,0)),"Not Found")</f>
        <v>0.64</v>
      </c>
      <c r="W222" s="21">
        <f t="array" ref="W222">IFERROR(INDEX('Strategy Watchlist'!X:X,MATCH($A222,'Strategy Watchlist'!$A:$A,0)),"Not Found")</f>
        <v>-0.53</v>
      </c>
      <c r="X222" s="21">
        <f t="array" ref="X222">IFERROR(INDEX('Strategy Watchlist'!Y:Y,MATCH($A222,'Strategy Watchlist'!$A:$A,0)),"Not Found")</f>
        <v>-0.16</v>
      </c>
      <c r="Y222" s="22" t="str">
        <f t="array" ref="Y222">IFERROR(INDEX('Strategy Watchlist'!Z:Z,MATCH($A222,'Strategy Watchlist'!$A:$A,0)),"Not Found")</f>
        <v>https://www.tradingview.com/chart/7HMGQSsJ/</v>
      </c>
      <c r="Z222" s="58"/>
      <c r="AA222" s="58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 t="s">
        <v>62</v>
      </c>
      <c r="AV222" s="1" t="s">
        <v>95</v>
      </c>
      <c r="AW222" s="1" t="s">
        <v>94</v>
      </c>
      <c r="AX222" s="1" t="s">
        <v>51</v>
      </c>
      <c r="AY222" s="18">
        <v>8.125</v>
      </c>
      <c r="AZ222" s="4">
        <v>124</v>
      </c>
      <c r="BA222" s="1" t="s">
        <v>52</v>
      </c>
      <c r="BB222" s="76">
        <v>45833</v>
      </c>
      <c r="BC222" s="77">
        <v>-0.09</v>
      </c>
      <c r="BD222" s="77">
        <v>2.89</v>
      </c>
      <c r="BE222" s="77">
        <v>4.46</v>
      </c>
      <c r="BF222" s="77">
        <v>2.52</v>
      </c>
      <c r="BG222" s="77">
        <v>1.25</v>
      </c>
      <c r="BH222" s="77">
        <v>-1.1299999999999999</v>
      </c>
      <c r="BI222" s="77">
        <v>0.64</v>
      </c>
      <c r="BJ222" s="77">
        <v>-0.53</v>
      </c>
      <c r="BK222" s="77">
        <v>-0.16</v>
      </c>
      <c r="BL222" s="1" t="s">
        <v>93</v>
      </c>
      <c r="BM222" s="1" t="s">
        <v>96</v>
      </c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</row>
    <row r="223" spans="1:119" ht="14.25" customHeight="1" x14ac:dyDescent="0.2">
      <c r="A223" s="17" t="str">
        <f t="shared" si="81"/>
        <v>[fa32aee4]|LINK|McGinley|45m</v>
      </c>
      <c r="B223" s="23" t="s">
        <v>28</v>
      </c>
      <c r="C223" s="18">
        <f t="shared" si="82"/>
        <v>0.14669209329617133</v>
      </c>
      <c r="D223" s="17" t="s">
        <v>55</v>
      </c>
      <c r="E223" s="17" t="s">
        <v>25</v>
      </c>
      <c r="F223" s="17" t="s">
        <v>47</v>
      </c>
      <c r="G223" s="23" t="s">
        <v>32</v>
      </c>
      <c r="H223" s="24">
        <v>10000</v>
      </c>
      <c r="I223" s="24">
        <f t="shared" si="83"/>
        <v>2100</v>
      </c>
      <c r="J223" s="2">
        <f t="shared" si="86"/>
        <v>2100</v>
      </c>
      <c r="K223" s="17">
        <v>160</v>
      </c>
      <c r="L223" s="19">
        <f t="array" ref="L223">IFERROR(INDEX('Strategy Watchlist'!L:L,MATCH($A223,'Strategy Watchlist'!$A:$A,0)),"Not Found")</f>
        <v>16.683760683760685</v>
      </c>
      <c r="M223" s="12">
        <v>126</v>
      </c>
      <c r="N223" s="20">
        <f t="array" ref="N223">IFERROR(INDEX('Strategy Watchlist'!N:N,MATCH($A223,'Strategy Watchlist'!$A:$A,0)),"Not Found")</f>
        <v>45833</v>
      </c>
      <c r="O223" s="21">
        <f t="array" ref="O223">IFERROR(INDEX('Strategy Watchlist'!P:P,MATCH($A223,'Strategy Watchlist'!$A:$A,0)),"Not Found")</f>
        <v>-2.02</v>
      </c>
      <c r="P223" s="21">
        <f t="array" ref="P223">IFERROR(INDEX('Strategy Watchlist'!Q:Q,MATCH($A223,'Strategy Watchlist'!$A:$A,0)),"Not Found")</f>
        <v>0.36</v>
      </c>
      <c r="Q223" s="21">
        <f t="array" ref="Q223">IFERROR(INDEX('Strategy Watchlist'!R:R,MATCH($A223,'Strategy Watchlist'!$A:$A,0)),"Not Found")</f>
        <v>7</v>
      </c>
      <c r="R223" s="21">
        <f t="array" ref="R223">IFERROR(INDEX('Strategy Watchlist'!S:S,MATCH($A223,'Strategy Watchlist'!$A:$A,0)),"Not Found")</f>
        <v>3.76</v>
      </c>
      <c r="S223" s="21">
        <f t="array" ref="S223">IFERROR(INDEX('Strategy Watchlist'!T:T,MATCH($A223,'Strategy Watchlist'!$A:$A,0)),"Not Found")</f>
        <v>2.2200000000000002</v>
      </c>
      <c r="T223" s="21">
        <f t="array" ref="T223">IFERROR(INDEX('Strategy Watchlist'!U:U,MATCH($A223,'Strategy Watchlist'!$A:$A,0)),"Not Found")</f>
        <v>6.68</v>
      </c>
      <c r="U223" s="21">
        <f t="array" ref="U223">IFERROR(INDEX('Strategy Watchlist'!V:V,MATCH($A223,'Strategy Watchlist'!$A:$A,0)),"Not Found")</f>
        <v>-0.14000000000000001</v>
      </c>
      <c r="V223" s="21">
        <f t="array" ref="V223">IFERROR(INDEX('Strategy Watchlist'!W:W,MATCH($A223,'Strategy Watchlist'!$A:$A,0)),"Not Found")</f>
        <v>5.22</v>
      </c>
      <c r="W223" s="21">
        <f t="array" ref="W223">IFERROR(INDEX('Strategy Watchlist'!X:X,MATCH($A223,'Strategy Watchlist'!$A:$A,0)),"Not Found")</f>
        <v>0</v>
      </c>
      <c r="X223" s="21">
        <f t="array" ref="X223">IFERROR(INDEX('Strategy Watchlist'!Y:Y,MATCH($A223,'Strategy Watchlist'!$A:$A,0)),"Not Found")</f>
        <v>0.13</v>
      </c>
      <c r="Y223" s="22" t="str">
        <f t="array" ref="Y223">IFERROR(INDEX('Strategy Watchlist'!Z:Z,MATCH($A223,'Strategy Watchlist'!$A:$A,0)),"Not Found")</f>
        <v>https://www.tradingview.com/chart/CTC73Olh/</v>
      </c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</row>
    <row r="224" spans="1:119" ht="14.25" customHeight="1" x14ac:dyDescent="0.2">
      <c r="A224" s="17" t="str">
        <f t="shared" si="81"/>
        <v>[3111f1fd]|NEAR|Stiff Surge|1H</v>
      </c>
      <c r="B224" s="1" t="s">
        <v>28</v>
      </c>
      <c r="C224" s="18">
        <f t="shared" si="82"/>
        <v>0.14669209329617133</v>
      </c>
      <c r="D224" s="1" t="s">
        <v>56</v>
      </c>
      <c r="E224" s="1" t="s">
        <v>57</v>
      </c>
      <c r="F224" s="1" t="s">
        <v>58</v>
      </c>
      <c r="G224" s="1" t="s">
        <v>52</v>
      </c>
      <c r="H224" s="2">
        <v>10000</v>
      </c>
      <c r="I224" s="24">
        <f t="shared" si="83"/>
        <v>2100</v>
      </c>
      <c r="J224" s="2">
        <f t="shared" si="86"/>
        <v>2100</v>
      </c>
      <c r="K224" s="1">
        <v>130</v>
      </c>
      <c r="L224" s="19">
        <f t="array" ref="L224">IFERROR(INDEX('Strategy Watchlist'!L:L,MATCH($A224,'Strategy Watchlist'!$A:$A,0)),"Not Found")</f>
        <v>3.1660516605166054</v>
      </c>
      <c r="M224" s="12">
        <f t="array" ref="M224">IFERROR(INDEX('Strategy Watchlist'!M:M,MATCH($A224,'Strategy Watchlist'!$A:$A,0)),"Not Found")</f>
        <v>237</v>
      </c>
      <c r="N224" s="20">
        <f t="array" ref="N224">IFERROR(INDEX('Strategy Watchlist'!N:N,MATCH($A224,'Strategy Watchlist'!$A:$A,0)),"Not Found")</f>
        <v>45717</v>
      </c>
      <c r="O224" s="21">
        <f t="array" ref="O224">IFERROR(INDEX('Strategy Watchlist'!P:P,MATCH($A224,'Strategy Watchlist'!$A:$A,0)),"Not Found")</f>
        <v>-1.39</v>
      </c>
      <c r="P224" s="21">
        <f t="array" ref="P224">IFERROR(INDEX('Strategy Watchlist'!Q:Q,MATCH($A224,'Strategy Watchlist'!$A:$A,0)),"Not Found")</f>
        <v>0.56000000000000005</v>
      </c>
      <c r="Q224" s="21">
        <f t="array" ref="Q224">IFERROR(INDEX('Strategy Watchlist'!R:R,MATCH($A224,'Strategy Watchlist'!$A:$A,0)),"Not Found")</f>
        <v>-0.43</v>
      </c>
      <c r="R224" s="21">
        <f t="array" ref="R224">IFERROR(INDEX('Strategy Watchlist'!S:S,MATCH($A224,'Strategy Watchlist'!$A:$A,0)),"Not Found")</f>
        <v>-0.45</v>
      </c>
      <c r="S224" s="21">
        <f t="array" ref="S224">IFERROR(INDEX('Strategy Watchlist'!T:T,MATCH($A224,'Strategy Watchlist'!$A:$A,0)),"Not Found")</f>
        <v>4.99</v>
      </c>
      <c r="T224" s="21">
        <f t="array" ref="T224">IFERROR(INDEX('Strategy Watchlist'!U:U,MATCH($A224,'Strategy Watchlist'!$A:$A,0)),"Not Found")</f>
        <v>4.37</v>
      </c>
      <c r="U224" s="21">
        <f t="array" ref="U224">IFERROR(INDEX('Strategy Watchlist'!V:V,MATCH($A224,'Strategy Watchlist'!$A:$A,0)),"Not Found")</f>
        <v>-1.47</v>
      </c>
      <c r="V224" s="21">
        <f t="array" ref="V224">IFERROR(INDEX('Strategy Watchlist'!W:W,MATCH($A224,'Strategy Watchlist'!$A:$A,0)),"Not Found")</f>
        <v>1.85</v>
      </c>
      <c r="W224" s="21">
        <f t="array" ref="W224">IFERROR(INDEX('Strategy Watchlist'!X:X,MATCH($A224,'Strategy Watchlist'!$A:$A,0)),"Not Found")</f>
        <v>-0.11</v>
      </c>
      <c r="X224" s="21">
        <f t="array" ref="X224">IFERROR(INDEX('Strategy Watchlist'!Y:Y,MATCH($A224,'Strategy Watchlist'!$A:$A,0)),"Not Found")</f>
        <v>1.53</v>
      </c>
      <c r="Y224" s="22" t="str">
        <f t="array" ref="Y224">IFERROR(INDEX('Strategy Watchlist'!Z:Z,MATCH($A224,'Strategy Watchlist'!$A:$A,0)),"Not Found")</f>
        <v>https://www.tradingview.com/chart/Q9MeKvVC/</v>
      </c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</row>
    <row r="225" spans="1:119" ht="14.25" customHeight="1" x14ac:dyDescent="0.2">
      <c r="A225" s="39" t="str">
        <f t="shared" si="81"/>
        <v>[f2b236fa]|OP|glitchTrend|1H</v>
      </c>
      <c r="B225" s="42" t="s">
        <v>28</v>
      </c>
      <c r="C225" s="18">
        <f t="shared" si="82"/>
        <v>4.4007627988851404E-2</v>
      </c>
      <c r="D225" s="21" t="s">
        <v>59</v>
      </c>
      <c r="E225" s="42" t="s">
        <v>60</v>
      </c>
      <c r="F225" s="42" t="s">
        <v>61</v>
      </c>
      <c r="G225" s="42" t="s">
        <v>52</v>
      </c>
      <c r="H225" s="1">
        <v>3000</v>
      </c>
      <c r="I225" s="2">
        <f t="shared" si="83"/>
        <v>630</v>
      </c>
      <c r="J225" s="24">
        <f t="shared" si="86"/>
        <v>630</v>
      </c>
      <c r="K225" s="1">
        <v>35</v>
      </c>
      <c r="L225" s="103">
        <f>57.27/6.84</f>
        <v>8.3728070175438596</v>
      </c>
      <c r="M225" s="44">
        <v>409</v>
      </c>
      <c r="N225" s="81">
        <v>45863</v>
      </c>
      <c r="O225" s="21">
        <f t="array" ref="O225">IFERROR(INDEX('Strategy Watchlist'!P:P,MATCH($A225,'Strategy Watchlist'!$A:$A,0)),"Not Found")</f>
        <v>2.64</v>
      </c>
      <c r="P225" s="21">
        <v>0.13</v>
      </c>
      <c r="Q225" s="21">
        <v>1.69</v>
      </c>
      <c r="R225" s="21">
        <v>6.07</v>
      </c>
      <c r="S225" s="21">
        <v>-3.19</v>
      </c>
      <c r="T225" s="21">
        <v>5.27</v>
      </c>
      <c r="U225" s="21">
        <v>3.43</v>
      </c>
      <c r="V225" s="21">
        <v>2.02</v>
      </c>
      <c r="W225" s="21">
        <v>0.08</v>
      </c>
      <c r="X225" s="21">
        <v>7.85</v>
      </c>
      <c r="Y225" s="47" t="s">
        <v>63</v>
      </c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39" t="str">
        <f t="shared" ref="AU225:AU227" si="87">AX225&amp;"|"&amp;AY225&amp;"|"&amp;AZ225&amp;"|"&amp;BA225</f>
        <v>[f2b236fa]|OP|glitchTrend|1H</v>
      </c>
      <c r="AV225" s="42" t="s">
        <v>62</v>
      </c>
      <c r="AW225" s="17"/>
      <c r="AX225" s="21" t="s">
        <v>59</v>
      </c>
      <c r="AY225" s="42" t="s">
        <v>60</v>
      </c>
      <c r="AZ225" s="42" t="s">
        <v>61</v>
      </c>
      <c r="BA225" s="42" t="s">
        <v>52</v>
      </c>
      <c r="BB225" s="103"/>
      <c r="BC225" s="103"/>
      <c r="BD225" s="103"/>
      <c r="BE225" s="103"/>
      <c r="BF225" s="103">
        <f>57.27/6.84</f>
        <v>8.3728070175438596</v>
      </c>
      <c r="BG225" s="44">
        <v>409</v>
      </c>
      <c r="BH225" s="81">
        <v>45863</v>
      </c>
      <c r="BI225" s="21">
        <v>0.5</v>
      </c>
      <c r="BJ225" s="21">
        <v>0.13</v>
      </c>
      <c r="BK225" s="21">
        <v>1.69</v>
      </c>
      <c r="BL225" s="21">
        <v>6.07</v>
      </c>
      <c r="BM225" s="21">
        <v>-3.19</v>
      </c>
      <c r="BN225" s="21">
        <v>5.27</v>
      </c>
      <c r="BO225" s="21">
        <v>3.43</v>
      </c>
      <c r="BP225" s="21">
        <v>2.02</v>
      </c>
      <c r="BQ225" s="21">
        <v>0.08</v>
      </c>
      <c r="BR225" s="21">
        <v>7.85</v>
      </c>
      <c r="BS225" s="47" t="s">
        <v>63</v>
      </c>
      <c r="BT225" s="42"/>
      <c r="BU225" s="42"/>
      <c r="BV225" s="42"/>
      <c r="BW225" s="42"/>
      <c r="BX225" s="42"/>
      <c r="BY225" s="42"/>
      <c r="BZ225" s="42"/>
      <c r="CA225" s="42"/>
      <c r="CB225" s="42"/>
      <c r="CC225" s="42"/>
      <c r="CD225" s="42"/>
      <c r="CE225" s="42"/>
      <c r="CF225" s="42"/>
      <c r="CG225" s="42"/>
      <c r="CH225" s="42"/>
      <c r="CI225" s="42"/>
      <c r="CJ225" s="42"/>
      <c r="CK225" s="42"/>
      <c r="CL225" s="42"/>
      <c r="CM225" s="42"/>
      <c r="CN225" s="42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</row>
    <row r="226" spans="1:119" ht="14.25" customHeight="1" x14ac:dyDescent="0.2">
      <c r="A226" s="39" t="str">
        <f t="shared" si="81"/>
        <v>[fbf06b43]|MNT|Trendhoo|37m</v>
      </c>
      <c r="B226" s="42" t="s">
        <v>28</v>
      </c>
      <c r="C226" s="18">
        <f t="shared" si="82"/>
        <v>0.17603051195540562</v>
      </c>
      <c r="D226" s="42" t="s">
        <v>101</v>
      </c>
      <c r="E226" s="42" t="s">
        <v>102</v>
      </c>
      <c r="F226" s="42" t="s">
        <v>67</v>
      </c>
      <c r="G226" s="42" t="s">
        <v>103</v>
      </c>
      <c r="H226" s="17">
        <v>12000</v>
      </c>
      <c r="I226" s="24">
        <f t="shared" si="83"/>
        <v>2520</v>
      </c>
      <c r="J226" s="24">
        <f t="shared" si="86"/>
        <v>2520</v>
      </c>
      <c r="K226" s="1">
        <v>120</v>
      </c>
      <c r="L226" s="43">
        <f>106.85/16.15</f>
        <v>6.6160990712074303</v>
      </c>
      <c r="M226" s="44">
        <v>846</v>
      </c>
      <c r="N226" s="81">
        <v>45863</v>
      </c>
      <c r="O226" s="21">
        <v>2.4900000000000002</v>
      </c>
      <c r="P226" s="21">
        <v>6.22</v>
      </c>
      <c r="Q226" s="21">
        <v>2.4</v>
      </c>
      <c r="R226" s="21">
        <v>14.95</v>
      </c>
      <c r="S226" s="21">
        <v>-0.75</v>
      </c>
      <c r="T226" s="21">
        <v>2.1800000000000002</v>
      </c>
      <c r="U226" s="21">
        <v>-6.96</v>
      </c>
      <c r="V226" s="21">
        <v>-0.73</v>
      </c>
      <c r="W226" s="21">
        <v>-1.92</v>
      </c>
      <c r="X226" s="21">
        <v>6.73</v>
      </c>
      <c r="Y226" s="47" t="s">
        <v>104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39" t="str">
        <f t="shared" si="87"/>
        <v>[fbf06b43]|MNT|Trendhoo|37m</v>
      </c>
      <c r="AV226" s="42" t="s">
        <v>28</v>
      </c>
      <c r="AW226" s="17">
        <v>0.2</v>
      </c>
      <c r="AX226" s="42" t="s">
        <v>101</v>
      </c>
      <c r="AY226" s="42" t="s">
        <v>102</v>
      </c>
      <c r="AZ226" s="42" t="s">
        <v>67</v>
      </c>
      <c r="BA226" s="42" t="s">
        <v>103</v>
      </c>
      <c r="BB226" s="43"/>
      <c r="BC226" s="43"/>
      <c r="BD226" s="43"/>
      <c r="BE226" s="43"/>
      <c r="BF226" s="43">
        <f>106.85/16.15</f>
        <v>6.6160990712074303</v>
      </c>
      <c r="BG226" s="44">
        <v>846</v>
      </c>
      <c r="BH226" s="81">
        <v>45863</v>
      </c>
      <c r="BI226" s="21">
        <v>2.4900000000000002</v>
      </c>
      <c r="BJ226" s="21">
        <v>6.22</v>
      </c>
      <c r="BK226" s="21">
        <v>2.4</v>
      </c>
      <c r="BL226" s="21">
        <v>14.95</v>
      </c>
      <c r="BM226" s="21">
        <v>-0.75</v>
      </c>
      <c r="BN226" s="21">
        <v>2.1800000000000002</v>
      </c>
      <c r="BO226" s="21">
        <v>-6.96</v>
      </c>
      <c r="BP226" s="21">
        <v>-0.73</v>
      </c>
      <c r="BQ226" s="21">
        <v>-1.92</v>
      </c>
      <c r="BR226" s="21">
        <v>6.73</v>
      </c>
      <c r="BS226" s="47" t="s">
        <v>104</v>
      </c>
      <c r="BT226" s="42"/>
      <c r="BU226" s="42"/>
      <c r="BV226" s="42"/>
      <c r="BW226" s="42"/>
      <c r="BX226" s="42"/>
      <c r="BY226" s="42"/>
      <c r="BZ226" s="42"/>
      <c r="CA226" s="42"/>
      <c r="CB226" s="42"/>
      <c r="CC226" s="42"/>
      <c r="CD226" s="42"/>
      <c r="CE226" s="42"/>
      <c r="CF226" s="42"/>
      <c r="CG226" s="42"/>
      <c r="CH226" s="42"/>
      <c r="CI226" s="42"/>
      <c r="CJ226" s="42"/>
      <c r="CK226" s="42"/>
      <c r="CL226" s="42"/>
      <c r="CM226" s="42"/>
      <c r="CN226" s="42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</row>
    <row r="227" spans="1:119" ht="14.25" customHeight="1" x14ac:dyDescent="0.2">
      <c r="A227" s="39" t="str">
        <f t="shared" si="81"/>
        <v>[8a00ecfa]|ADA|JpTrendForce|1H</v>
      </c>
      <c r="B227" s="78" t="s">
        <v>28</v>
      </c>
      <c r="C227" s="18">
        <f t="shared" si="82"/>
        <v>0.11735367463693706</v>
      </c>
      <c r="D227" s="3" t="s">
        <v>97</v>
      </c>
      <c r="E227" s="78" t="s">
        <v>98</v>
      </c>
      <c r="F227" s="78" t="s">
        <v>99</v>
      </c>
      <c r="G227" s="78" t="s">
        <v>52</v>
      </c>
      <c r="H227" s="17">
        <v>8000</v>
      </c>
      <c r="I227" s="24">
        <f t="shared" si="83"/>
        <v>1680</v>
      </c>
      <c r="J227" s="24">
        <f t="shared" si="86"/>
        <v>1680</v>
      </c>
      <c r="K227" s="1">
        <v>120</v>
      </c>
      <c r="L227" s="18">
        <f>38.28/5.19</f>
        <v>7.3757225433526008</v>
      </c>
      <c r="M227" s="4">
        <v>160</v>
      </c>
      <c r="N227" s="79">
        <v>45682</v>
      </c>
      <c r="O227" s="3">
        <v>3.77</v>
      </c>
      <c r="P227" s="3">
        <v>-1.61</v>
      </c>
      <c r="Q227" s="3">
        <v>1.35</v>
      </c>
      <c r="R227" s="3">
        <v>2.58</v>
      </c>
      <c r="S227" s="3">
        <v>3.16</v>
      </c>
      <c r="T227" s="3">
        <v>1.52</v>
      </c>
      <c r="U227" s="3">
        <v>-1.1000000000000001</v>
      </c>
      <c r="V227" s="3">
        <v>-1.24</v>
      </c>
      <c r="W227" s="3">
        <v>0</v>
      </c>
      <c r="X227" s="3">
        <v>0</v>
      </c>
      <c r="Y227" s="80" t="s">
        <v>100</v>
      </c>
      <c r="Z227" s="3"/>
      <c r="AA227" s="3"/>
      <c r="AB227" s="3"/>
      <c r="AC227" s="3"/>
      <c r="AD227" s="3"/>
      <c r="AU227" s="39" t="str">
        <f t="shared" si="87"/>
        <v>[8a00ecfa]|ADA|JpTrendForce|1H</v>
      </c>
      <c r="AV227" s="78" t="s">
        <v>62</v>
      </c>
      <c r="AW227" s="1"/>
      <c r="AX227" s="3" t="s">
        <v>97</v>
      </c>
      <c r="AY227" s="78" t="s">
        <v>98</v>
      </c>
      <c r="AZ227" s="78" t="s">
        <v>99</v>
      </c>
      <c r="BA227" s="78" t="s">
        <v>52</v>
      </c>
      <c r="BB227" s="18"/>
      <c r="BC227" s="18"/>
      <c r="BD227" s="18"/>
      <c r="BE227" s="18"/>
      <c r="BF227" s="18">
        <f>38.28/5.19</f>
        <v>7.3757225433526008</v>
      </c>
      <c r="BG227" s="4">
        <v>160</v>
      </c>
      <c r="BH227" s="79">
        <v>45682</v>
      </c>
      <c r="BI227" s="3">
        <v>3.77</v>
      </c>
      <c r="BJ227" s="3">
        <v>-1.61</v>
      </c>
      <c r="BK227" s="3">
        <v>1.35</v>
      </c>
      <c r="BL227" s="3">
        <v>2.58</v>
      </c>
      <c r="BM227" s="3">
        <v>3.16</v>
      </c>
      <c r="BN227" s="3">
        <v>1.52</v>
      </c>
      <c r="BO227" s="3">
        <v>-1.1000000000000001</v>
      </c>
      <c r="BP227" s="3">
        <v>-1.24</v>
      </c>
      <c r="BQ227" s="3">
        <v>0</v>
      </c>
      <c r="BR227" s="3">
        <v>0</v>
      </c>
      <c r="BS227" s="80" t="s">
        <v>100</v>
      </c>
      <c r="BT227" s="3"/>
      <c r="BU227" s="3"/>
      <c r="BV227" s="3"/>
      <c r="BW227" s="3"/>
      <c r="BX227" s="3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</row>
    <row r="228" spans="1:119" ht="14.25" customHeight="1" x14ac:dyDescent="0.2">
      <c r="A228" s="36" t="str">
        <f t="shared" si="81"/>
        <v>|68170||</v>
      </c>
      <c r="B228" s="37" t="s">
        <v>129</v>
      </c>
      <c r="C228" s="37"/>
      <c r="D228" s="37"/>
      <c r="E228" s="37">
        <v>68170</v>
      </c>
      <c r="F228" s="37"/>
      <c r="G228" s="37"/>
      <c r="H228" s="37"/>
      <c r="I228" s="38"/>
      <c r="J228" s="38"/>
      <c r="K228" s="37"/>
      <c r="L228" s="19"/>
      <c r="M228" s="12"/>
      <c r="N228" s="20"/>
      <c r="O228" s="21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</row>
    <row r="229" spans="1:119" ht="14.25" customHeight="1" x14ac:dyDescent="0.2">
      <c r="A229" s="39" t="str">
        <f t="shared" si="81"/>
        <v>[04ea3071]|BTC|AI vs Ninja Turtle|76min</v>
      </c>
      <c r="B229" s="42" t="s">
        <v>28</v>
      </c>
      <c r="C229" s="18">
        <f t="shared" ref="C229:C231" si="88">H229/$E$212</f>
        <v>0.30805339592195979</v>
      </c>
      <c r="D229" s="42" t="s">
        <v>72</v>
      </c>
      <c r="E229" s="42" t="s">
        <v>73</v>
      </c>
      <c r="F229" s="42" t="s">
        <v>74</v>
      </c>
      <c r="G229" s="42" t="s">
        <v>75</v>
      </c>
      <c r="H229" s="2">
        <v>21000</v>
      </c>
      <c r="I229" s="2">
        <f t="shared" ref="I229:I231" si="89">H229*0.21</f>
        <v>4410</v>
      </c>
      <c r="J229" s="2">
        <f t="shared" ref="J229:K229" si="90">J205*7</f>
        <v>7000</v>
      </c>
      <c r="K229" s="1">
        <f t="shared" si="90"/>
        <v>210</v>
      </c>
      <c r="L229" s="19">
        <f t="array" ref="L229">IFERROR(INDEX('Strategy Watchlist'!L:L,MATCH($A229,'Strategy Watchlist'!$A:$A,0)),"Not Found")</f>
        <v>8.5935334872979219</v>
      </c>
      <c r="M229" s="12">
        <f t="array" ref="M229">IFERROR(INDEX('Strategy Watchlist'!M:M,MATCH($A229,'Strategy Watchlist'!$A:$A,0)),"Not Found")</f>
        <v>78</v>
      </c>
      <c r="N229" s="20">
        <f t="array" ref="N229">IFERROR(INDEX('Strategy Watchlist'!N:N,MATCH($A229,'Strategy Watchlist'!$A:$A,0)),"Not Found")</f>
        <v>45682</v>
      </c>
      <c r="O229" s="21">
        <f t="array" ref="O229">IFERROR(INDEX('Strategy Watchlist'!P:P,MATCH($A229,'Strategy Watchlist'!$A:$A,0)),"Not Found")</f>
        <v>1.67</v>
      </c>
      <c r="P229" s="21">
        <f t="array" ref="P229">IFERROR(INDEX('Strategy Watchlist'!Q:Q,MATCH($A229,'Strategy Watchlist'!$A:$A,0)),"Not Found")</f>
        <v>2.78</v>
      </c>
      <c r="Q229" s="21">
        <f t="array" ref="Q229">IFERROR(INDEX('Strategy Watchlist'!R:R,MATCH($A229,'Strategy Watchlist'!$A:$A,0)),"Not Found")</f>
        <v>-0.22</v>
      </c>
      <c r="R229" s="21">
        <f t="array" ref="R229">IFERROR(INDEX('Strategy Watchlist'!S:S,MATCH($A229,'Strategy Watchlist'!$A:$A,0)),"Not Found")</f>
        <v>2.83</v>
      </c>
      <c r="S229" s="21">
        <f t="array" ref="S229">IFERROR(INDEX('Strategy Watchlist'!T:T,MATCH($A229,'Strategy Watchlist'!$A:$A,0)),"Not Found")</f>
        <v>-1.36</v>
      </c>
      <c r="T229" s="21">
        <f t="array" ref="T229">IFERROR(INDEX('Strategy Watchlist'!U:U,MATCH($A229,'Strategy Watchlist'!$A:$A,0)),"Not Found")</f>
        <v>3.58</v>
      </c>
      <c r="U229" s="21">
        <f t="array" ref="U229">IFERROR(INDEX('Strategy Watchlist'!V:V,MATCH($A229,'Strategy Watchlist'!$A:$A,0)),"Not Found")</f>
        <v>-0.43</v>
      </c>
      <c r="V229" s="21">
        <f t="array" ref="V229">IFERROR(INDEX('Strategy Watchlist'!W:W,MATCH($A229,'Strategy Watchlist'!$A:$A,0)),"Not Found")</f>
        <v>1.1299999999999999</v>
      </c>
      <c r="W229" s="21">
        <f t="array" ref="W229">IFERROR(INDEX('Strategy Watchlist'!X:X,MATCH($A229,'Strategy Watchlist'!$A:$A,0)),"Not Found")</f>
        <v>1.58</v>
      </c>
      <c r="X229" s="21">
        <f t="array" ref="X229">IFERROR(INDEX('Strategy Watchlist'!Y:Y,MATCH($A229,'Strategy Watchlist'!$A:$A,0)),"Not Found")</f>
        <v>3.31</v>
      </c>
      <c r="Y229" s="47" t="s">
        <v>76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39" t="str">
        <f t="shared" ref="AU229:AU230" si="91">AX229&amp;"|"&amp;AY229&amp;"|"&amp;AZ229&amp;"|"&amp;BA229</f>
        <v>[04ea3071]|BTC|AI vs Ninja Turtle|76min</v>
      </c>
      <c r="AV229" s="42" t="s">
        <v>28</v>
      </c>
      <c r="AW229" s="17"/>
      <c r="AX229" s="42" t="s">
        <v>72</v>
      </c>
      <c r="AY229" s="42" t="s">
        <v>73</v>
      </c>
      <c r="AZ229" s="42" t="s">
        <v>74</v>
      </c>
      <c r="BA229" s="42" t="s">
        <v>75</v>
      </c>
      <c r="BB229" s="19"/>
      <c r="BC229" s="19"/>
      <c r="BD229" s="19"/>
      <c r="BE229" s="19"/>
      <c r="BF229" s="19">
        <f>37.21/4.33</f>
        <v>8.5935334872979219</v>
      </c>
      <c r="BG229" s="46">
        <v>78</v>
      </c>
      <c r="BH229" s="45">
        <v>45682</v>
      </c>
      <c r="BI229" s="21">
        <v>0.99</v>
      </c>
      <c r="BJ229" s="21">
        <v>-0.22</v>
      </c>
      <c r="BK229" s="21">
        <v>2.83</v>
      </c>
      <c r="BL229" s="21">
        <v>-1.36</v>
      </c>
      <c r="BM229" s="21">
        <v>3.58</v>
      </c>
      <c r="BN229" s="21">
        <v>-0.43</v>
      </c>
      <c r="BO229" s="21">
        <v>1.1299999999999999</v>
      </c>
      <c r="BP229" s="21">
        <v>1.58</v>
      </c>
      <c r="BQ229" s="21">
        <v>3.31</v>
      </c>
      <c r="BR229" s="47" t="s">
        <v>76</v>
      </c>
      <c r="BS229" s="42"/>
      <c r="BT229" s="42"/>
      <c r="BU229" s="42"/>
      <c r="BV229" s="42"/>
      <c r="BW229" s="42"/>
      <c r="BX229" s="42"/>
      <c r="BY229" s="42"/>
      <c r="BZ229" s="42"/>
      <c r="CA229" s="42"/>
      <c r="CB229" s="42"/>
      <c r="CC229" s="42"/>
      <c r="CD229" s="42"/>
      <c r="CE229" s="42"/>
      <c r="CF229" s="42"/>
      <c r="CG229" s="42"/>
      <c r="CH229" s="42"/>
      <c r="CI229" s="42"/>
      <c r="CJ229" s="42"/>
      <c r="CK229" s="42"/>
      <c r="CL229" s="42"/>
      <c r="CM229" s="42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</row>
    <row r="230" spans="1:119" ht="14.25" customHeight="1" x14ac:dyDescent="0.2">
      <c r="A230" s="39" t="str">
        <f t="shared" si="81"/>
        <v>[0436a8e8]|SOL|Trendhoo|90m</v>
      </c>
      <c r="B230" s="17" t="s">
        <v>28</v>
      </c>
      <c r="C230" s="18">
        <f t="shared" si="88"/>
        <v>0.30805339592195979</v>
      </c>
      <c r="D230" s="17" t="s">
        <v>66</v>
      </c>
      <c r="E230" s="17" t="s">
        <v>43</v>
      </c>
      <c r="F230" s="17" t="s">
        <v>67</v>
      </c>
      <c r="G230" s="17" t="s">
        <v>48</v>
      </c>
      <c r="H230" s="2">
        <v>21000</v>
      </c>
      <c r="I230" s="40">
        <f t="shared" si="89"/>
        <v>4410</v>
      </c>
      <c r="J230" s="2">
        <f t="shared" ref="J230:J231" si="92">I230</f>
        <v>4410</v>
      </c>
      <c r="K230" s="2">
        <v>140</v>
      </c>
      <c r="L230" s="19">
        <f t="array" ref="L230">IFERROR(INDEX('Strategy Watchlist'!L:L,MATCH($A230,'Strategy Watchlist'!$A:$A,0)),"Not Found")</f>
        <v>5.0460048426150124</v>
      </c>
      <c r="M230" s="12">
        <f t="array" ref="M230">IFERROR(INDEX('Strategy Watchlist'!M:M,MATCH($A230,'Strategy Watchlist'!$A:$A,0)),"Not Found")</f>
        <v>327</v>
      </c>
      <c r="N230" s="20">
        <f t="array" ref="N230">IFERROR(INDEX('Strategy Watchlist'!N:N,MATCH($A230,'Strategy Watchlist'!$A:$A,0)),"Not Found")</f>
        <v>45863</v>
      </c>
      <c r="O230" s="21">
        <f t="array" ref="O230">IFERROR(INDEX('Strategy Watchlist'!P:P,MATCH($A230,'Strategy Watchlist'!$A:$A,0)),"Not Found")</f>
        <v>-0.57999999999999996</v>
      </c>
      <c r="P230" s="21">
        <f t="array" ref="P230">IFERROR(INDEX('Strategy Watchlist'!Q:Q,MATCH($A230,'Strategy Watchlist'!$A:$A,0)),"Not Found")</f>
        <v>2.2999999999999998</v>
      </c>
      <c r="Q230" s="21">
        <f t="array" ref="Q230">IFERROR(INDEX('Strategy Watchlist'!R:R,MATCH($A230,'Strategy Watchlist'!$A:$A,0)),"Not Found")</f>
        <v>0.88</v>
      </c>
      <c r="R230" s="21">
        <f t="array" ref="R230">IFERROR(INDEX('Strategy Watchlist'!S:S,MATCH($A230,'Strategy Watchlist'!$A:$A,0)),"Not Found")</f>
        <v>0.88</v>
      </c>
      <c r="S230" s="21">
        <f t="array" ref="S230">IFERROR(INDEX('Strategy Watchlist'!T:T,MATCH($A230,'Strategy Watchlist'!$A:$A,0)),"Not Found")</f>
        <v>-0.19</v>
      </c>
      <c r="T230" s="21">
        <f t="array" ref="T230">IFERROR(INDEX('Strategy Watchlist'!U:U,MATCH($A230,'Strategy Watchlist'!$A:$A,0)),"Not Found")</f>
        <v>-0.1</v>
      </c>
      <c r="U230" s="21">
        <f t="array" ref="U230">IFERROR(INDEX('Strategy Watchlist'!V:V,MATCH($A230,'Strategy Watchlist'!$A:$A,0)),"Not Found")</f>
        <v>-0.52</v>
      </c>
      <c r="V230" s="21">
        <f t="array" ref="V230">IFERROR(INDEX('Strategy Watchlist'!W:W,MATCH($A230,'Strategy Watchlist'!$A:$A,0)),"Not Found")</f>
        <v>1.1100000000000001</v>
      </c>
      <c r="W230" s="21">
        <f t="array" ref="W230">IFERROR(INDEX('Strategy Watchlist'!X:X,MATCH($A230,'Strategy Watchlist'!$A:$A,0)),"Not Found")</f>
        <v>2.02</v>
      </c>
      <c r="X230" s="21">
        <f t="array" ref="X230">IFERROR(INDEX('Strategy Watchlist'!Y:Y,MATCH($A230,'Strategy Watchlist'!$A:$A,0)),"Not Found")</f>
        <v>2.73</v>
      </c>
      <c r="Y230" s="41" t="s">
        <v>68</v>
      </c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42"/>
      <c r="AN230" s="42"/>
      <c r="AO230" s="42"/>
      <c r="AP230" s="42"/>
      <c r="AQ230" s="42"/>
      <c r="AR230" s="42"/>
      <c r="AS230" s="42"/>
      <c r="AT230" s="42"/>
      <c r="AU230" s="39" t="str">
        <f t="shared" si="91"/>
        <v>[0436a8e8]|SOL|Trendhoo|90m</v>
      </c>
      <c r="AV230" s="17" t="s">
        <v>28</v>
      </c>
      <c r="AW230" s="17">
        <v>0.2</v>
      </c>
      <c r="AX230" s="17" t="s">
        <v>66</v>
      </c>
      <c r="AY230" s="17" t="s">
        <v>43</v>
      </c>
      <c r="AZ230" s="17" t="s">
        <v>67</v>
      </c>
      <c r="BA230" s="17" t="s">
        <v>48</v>
      </c>
      <c r="BB230" s="43"/>
      <c r="BC230" s="43"/>
      <c r="BD230" s="43"/>
      <c r="BE230" s="43"/>
      <c r="BF230" s="43">
        <f>20.84/4.13</f>
        <v>5.0460048426150124</v>
      </c>
      <c r="BG230" s="44">
        <v>327</v>
      </c>
      <c r="BH230" s="45">
        <v>45863</v>
      </c>
      <c r="BI230" s="21">
        <v>0.72</v>
      </c>
      <c r="BJ230" s="21">
        <v>1.94</v>
      </c>
      <c r="BK230" s="21">
        <v>0.74</v>
      </c>
      <c r="BL230" s="21">
        <v>0.74</v>
      </c>
      <c r="BM230" s="21">
        <v>-0.19</v>
      </c>
      <c r="BN230" s="21">
        <v>-0.1</v>
      </c>
      <c r="BO230" s="21">
        <v>-0.52</v>
      </c>
      <c r="BP230" s="21">
        <v>1.1100000000000001</v>
      </c>
      <c r="BQ230" s="21">
        <v>2.02</v>
      </c>
      <c r="BR230" s="21">
        <v>2.73</v>
      </c>
      <c r="BS230" s="41" t="s">
        <v>68</v>
      </c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42"/>
      <c r="CH230" s="42"/>
      <c r="CI230" s="42"/>
      <c r="CJ230" s="42"/>
      <c r="CK230" s="42"/>
      <c r="CL230" s="42"/>
      <c r="CM230" s="42"/>
      <c r="CN230" s="42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</row>
    <row r="231" spans="1:119" ht="14.25" customHeight="1" x14ac:dyDescent="0.2">
      <c r="A231" s="39" t="str">
        <f t="shared" si="81"/>
        <v>[28d1ec8a]|ETH|stiffZone|15m</v>
      </c>
      <c r="B231" s="78" t="s">
        <v>28</v>
      </c>
      <c r="C231" s="18">
        <f t="shared" si="88"/>
        <v>0.17603051195540562</v>
      </c>
      <c r="D231" s="78" t="s">
        <v>130</v>
      </c>
      <c r="E231" s="78" t="s">
        <v>46</v>
      </c>
      <c r="F231" s="78" t="s">
        <v>131</v>
      </c>
      <c r="G231" s="78" t="s">
        <v>132</v>
      </c>
      <c r="H231" s="2">
        <v>12000</v>
      </c>
      <c r="I231" s="40">
        <f t="shared" si="89"/>
        <v>2520</v>
      </c>
      <c r="J231" s="2">
        <f t="shared" si="92"/>
        <v>2520</v>
      </c>
      <c r="K231" s="2">
        <v>150</v>
      </c>
      <c r="L231" s="19">
        <f t="array" ref="L231">IFERROR(INDEX('Strategy Watchlist'!L:L,MATCH($A231,'Strategy Watchlist'!$A:$A,0)),"Not Found")</f>
        <v>27.071748878923767</v>
      </c>
      <c r="M231" s="12">
        <f t="array" ref="M231">IFERROR(INDEX('Strategy Watchlist'!M:M,MATCH($A231,'Strategy Watchlist'!$A:$A,0)),"Not Found")</f>
        <v>198</v>
      </c>
      <c r="N231" s="20">
        <f t="array" ref="N231">IFERROR(INDEX('Strategy Watchlist'!N:N,MATCH($A231,'Strategy Watchlist'!$A:$A,0)),"Not Found")</f>
        <v>45802</v>
      </c>
      <c r="O231" s="21">
        <f t="array" ref="O231">IFERROR(INDEX('Strategy Watchlist'!P:P,MATCH($A231,'Strategy Watchlist'!$A:$A,0)),"Not Found")</f>
        <v>-0.95</v>
      </c>
      <c r="P231" s="21">
        <f t="array" ref="P231">IFERROR(INDEX('Strategy Watchlist'!Q:Q,MATCH($A231,'Strategy Watchlist'!$A:$A,0)),"Not Found")</f>
        <v>0</v>
      </c>
      <c r="Q231" s="21">
        <f t="array" ref="Q231">IFERROR(INDEX('Strategy Watchlist'!R:R,MATCH($A231,'Strategy Watchlist'!$A:$A,0)),"Not Found")</f>
        <v>1.42</v>
      </c>
      <c r="R231" s="21">
        <f t="array" ref="R231">IFERROR(INDEX('Strategy Watchlist'!S:S,MATCH($A231,'Strategy Watchlist'!$A:$A,0)),"Not Found")</f>
        <v>3.95</v>
      </c>
      <c r="S231" s="21">
        <f t="array" ref="S231">IFERROR(INDEX('Strategy Watchlist'!T:T,MATCH($A231,'Strategy Watchlist'!$A:$A,0)),"Not Found")</f>
        <v>0</v>
      </c>
      <c r="T231" s="21">
        <f t="array" ref="T231">IFERROR(INDEX('Strategy Watchlist'!U:U,MATCH($A231,'Strategy Watchlist'!$A:$A,0)),"Not Found")</f>
        <v>4.8600000000000003</v>
      </c>
      <c r="U231" s="21">
        <f t="array" ref="U231">IFERROR(INDEX('Strategy Watchlist'!V:V,MATCH($A231,'Strategy Watchlist'!$A:$A,0)),"Not Found")</f>
        <v>3.85</v>
      </c>
      <c r="V231" s="21">
        <f t="array" ref="V231">IFERROR(INDEX('Strategy Watchlist'!W:W,MATCH($A231,'Strategy Watchlist'!$A:$A,0)),"Not Found")</f>
        <v>0</v>
      </c>
      <c r="W231" s="21">
        <f t="array" ref="W231">IFERROR(INDEX('Strategy Watchlist'!X:X,MATCH($A231,'Strategy Watchlist'!$A:$A,0)),"Not Found")</f>
        <v>0</v>
      </c>
      <c r="X231" s="21">
        <f t="array" ref="X231">IFERROR(INDEX('Strategy Watchlist'!Y:Y,MATCH($A231,'Strategy Watchlist'!$A:$A,0)),"Not Found")</f>
        <v>0</v>
      </c>
      <c r="Y231" s="102" t="str">
        <f t="array" ref="Y231">IFERROR(INDEX('Strategy Watchlist'!Z:Z,MATCH($A231,'Strategy Watchlist'!$A:$A,0)),"Not Found")</f>
        <v>https://www.tradingview.com/chart/pLdFOLtD/</v>
      </c>
      <c r="AU231" s="39"/>
      <c r="AV231" s="78" t="s">
        <v>28</v>
      </c>
      <c r="AW231" s="1"/>
      <c r="AX231" s="78" t="s">
        <v>130</v>
      </c>
      <c r="AY231" s="78" t="s">
        <v>46</v>
      </c>
      <c r="AZ231" s="78" t="s">
        <v>131</v>
      </c>
      <c r="BA231" s="78" t="s">
        <v>132</v>
      </c>
      <c r="BF231" s="78">
        <f>120.74/4.46</f>
        <v>27.071748878923767</v>
      </c>
      <c r="BG231" s="78">
        <v>198</v>
      </c>
      <c r="BH231" s="105">
        <v>45802</v>
      </c>
      <c r="BI231" s="78">
        <v>0</v>
      </c>
      <c r="BJ231" s="78">
        <v>0</v>
      </c>
      <c r="BK231" s="78">
        <v>1.42</v>
      </c>
      <c r="BL231" s="21">
        <v>3.95</v>
      </c>
      <c r="BM231" s="21">
        <v>0</v>
      </c>
      <c r="BN231" s="21">
        <v>4.8600000000000003</v>
      </c>
      <c r="BO231" s="21">
        <v>3.85</v>
      </c>
      <c r="BP231" s="78">
        <v>0</v>
      </c>
      <c r="BQ231" s="78">
        <v>0</v>
      </c>
      <c r="BR231" s="78">
        <v>0</v>
      </c>
      <c r="BS231" s="106" t="s">
        <v>133</v>
      </c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</row>
    <row r="232" spans="1:119" ht="14.25" customHeight="1" x14ac:dyDescent="0.2">
      <c r="A232" s="17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19"/>
      <c r="M232" s="12"/>
      <c r="N232" s="20"/>
      <c r="O232" s="21"/>
      <c r="P232" s="3"/>
      <c r="Q232" s="3"/>
      <c r="R232" s="3"/>
      <c r="S232" s="3"/>
      <c r="T232" s="3"/>
      <c r="U232" s="3"/>
      <c r="V232" s="3"/>
      <c r="W232" s="3"/>
      <c r="X232" s="3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</row>
    <row r="233" spans="1:119" ht="14.25" customHeight="1" x14ac:dyDescent="0.2">
      <c r="A233" s="36" t="str">
        <f t="shared" ref="A233:A236" si="93">D233&amp;"|"&amp;E233&amp;"|"&amp;F233&amp;"|"&amp;G233</f>
        <v>|68170||</v>
      </c>
      <c r="B233" s="37" t="s">
        <v>134</v>
      </c>
      <c r="C233" s="37"/>
      <c r="D233" s="37"/>
      <c r="E233" s="37">
        <v>68170</v>
      </c>
      <c r="F233" s="37"/>
      <c r="G233" s="37"/>
      <c r="H233" s="37"/>
      <c r="I233" s="38"/>
      <c r="J233" s="38"/>
      <c r="K233" s="37"/>
      <c r="L233" s="19"/>
      <c r="M233" s="12"/>
      <c r="N233" s="20"/>
      <c r="O233" s="21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</row>
    <row r="234" spans="1:119" ht="14.25" customHeight="1" x14ac:dyDescent="0.2">
      <c r="A234" s="39" t="str">
        <f t="shared" si="93"/>
        <v>01.01.2025|BTC|AI Ichimaster|3H</v>
      </c>
      <c r="B234" s="42" t="s">
        <v>28</v>
      </c>
      <c r="C234" s="18">
        <f t="shared" ref="C234:C236" si="94">H234/$E$212</f>
        <v>0.26404576793310841</v>
      </c>
      <c r="D234" s="42" t="s">
        <v>135</v>
      </c>
      <c r="E234" s="42" t="s">
        <v>73</v>
      </c>
      <c r="F234" s="42" t="s">
        <v>136</v>
      </c>
      <c r="G234" s="42" t="s">
        <v>137</v>
      </c>
      <c r="H234" s="2">
        <v>18000</v>
      </c>
      <c r="I234" s="2">
        <f t="shared" ref="I234:I236" si="95">H234*0.21</f>
        <v>3780</v>
      </c>
      <c r="J234" s="24">
        <f t="shared" ref="J234:J236" si="96">I234</f>
        <v>3780</v>
      </c>
      <c r="K234" s="1">
        <v>160</v>
      </c>
      <c r="L234" s="43">
        <f>30.68/3.31</f>
        <v>9.2688821752265866</v>
      </c>
      <c r="M234" s="12">
        <v>61</v>
      </c>
      <c r="N234" s="107">
        <v>45682</v>
      </c>
      <c r="O234" s="21">
        <f t="array" ref="O234">IFERROR(INDEX('Strategy Watchlist'!P:P,MATCH($A234,'Strategy Watchlist'!$A:$A,0)),"Not Found")</f>
        <v>0.57999999999999996</v>
      </c>
      <c r="P234" s="21">
        <f t="array" ref="P234">IFERROR(INDEX('Strategy Watchlist'!Q:Q,MATCH($A234,'Strategy Watchlist'!$A:$A,0)),"Not Found")</f>
        <v>-0.03</v>
      </c>
      <c r="Q234" s="21">
        <f t="array" ref="Q234">IFERROR(INDEX('Strategy Watchlist'!R:R,MATCH($A234,'Strategy Watchlist'!$A:$A,0)),"Not Found")</f>
        <v>-0.85</v>
      </c>
      <c r="R234" s="21">
        <f t="array" ref="R234">IFERROR(INDEX('Strategy Watchlist'!S:S,MATCH($A234,'Strategy Watchlist'!$A:$A,0)),"Not Found")</f>
        <v>1.01</v>
      </c>
      <c r="S234" s="21">
        <f t="array" ref="S234">IFERROR(INDEX('Strategy Watchlist'!T:T,MATCH($A234,'Strategy Watchlist'!$A:$A,0)),"Not Found")</f>
        <v>-0.85</v>
      </c>
      <c r="T234" s="21">
        <f t="array" ref="T234">IFERROR(INDEX('Strategy Watchlist'!U:U,MATCH($A234,'Strategy Watchlist'!$A:$A,0)),"Not Found")</f>
        <v>0.78</v>
      </c>
      <c r="U234" s="21">
        <f t="array" ref="U234">IFERROR(INDEX('Strategy Watchlist'!V:V,MATCH($A234,'Strategy Watchlist'!$A:$A,0)),"Not Found")</f>
        <v>1.42</v>
      </c>
      <c r="V234" s="21">
        <f t="array" ref="V234">IFERROR(INDEX('Strategy Watchlist'!W:W,MATCH($A234,'Strategy Watchlist'!$A:$A,0)),"Not Found")</f>
        <v>0</v>
      </c>
      <c r="W234" s="21">
        <f t="array" ref="W234">IFERROR(INDEX('Strategy Watchlist'!X:X,MATCH($A234,'Strategy Watchlist'!$A:$A,0)),"Not Found")</f>
        <v>-0.03</v>
      </c>
      <c r="X234" s="21">
        <f t="array" ref="X234">IFERROR(INDEX('Strategy Watchlist'!Y:Y,MATCH($A234,'Strategy Watchlist'!$A:$A,0)),"Not Found")</f>
        <v>0</v>
      </c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39" t="str">
        <f t="shared" ref="AU234:AU235" si="97">AX234&amp;"|"&amp;AY234&amp;"|"&amp;AZ234&amp;"|"&amp;BA234</f>
        <v>01.01.2025|BTC|AI Ichimaster|3H</v>
      </c>
      <c r="AV234" s="42" t="s">
        <v>28</v>
      </c>
      <c r="AW234" s="17"/>
      <c r="AX234" s="42" t="s">
        <v>135</v>
      </c>
      <c r="AY234" s="42" t="s">
        <v>73</v>
      </c>
      <c r="AZ234" s="42" t="s">
        <v>136</v>
      </c>
      <c r="BA234" s="42" t="s">
        <v>137</v>
      </c>
      <c r="BB234" s="42"/>
      <c r="BC234" s="42"/>
      <c r="BD234" s="42"/>
      <c r="BE234" s="42"/>
      <c r="BF234" s="43">
        <f>30.68/3.31</f>
        <v>9.2688821752265866</v>
      </c>
      <c r="BG234" s="44">
        <v>61</v>
      </c>
      <c r="BH234" s="107">
        <v>45682</v>
      </c>
      <c r="BI234" s="108">
        <v>1.06</v>
      </c>
      <c r="BJ234" s="108">
        <v>-0.03</v>
      </c>
      <c r="BK234" s="108">
        <v>-0.85</v>
      </c>
      <c r="BL234" s="108">
        <v>1.01</v>
      </c>
      <c r="BM234" s="108">
        <v>-0.85</v>
      </c>
      <c r="BN234" s="108">
        <v>0.78</v>
      </c>
      <c r="BO234" s="108">
        <v>1.42</v>
      </c>
      <c r="BP234" s="108">
        <v>0</v>
      </c>
      <c r="BQ234" s="108">
        <v>-0.03</v>
      </c>
      <c r="BR234" s="108">
        <v>0</v>
      </c>
      <c r="BS234" s="42"/>
      <c r="BT234" s="42"/>
      <c r="BU234" s="42"/>
      <c r="BV234" s="42"/>
      <c r="BW234" s="42"/>
      <c r="BX234" s="42"/>
      <c r="BY234" s="42"/>
      <c r="BZ234" s="42"/>
      <c r="CA234" s="42"/>
      <c r="CB234" s="42"/>
      <c r="CC234" s="42"/>
      <c r="CD234" s="42"/>
      <c r="CE234" s="42"/>
      <c r="CF234" s="42"/>
      <c r="CG234" s="42"/>
      <c r="CH234" s="42"/>
      <c r="CI234" s="42"/>
      <c r="CJ234" s="42"/>
      <c r="CK234" s="42"/>
      <c r="CL234" s="42"/>
      <c r="CM234" s="42"/>
      <c r="CN234" s="42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</row>
    <row r="235" spans="1:119" ht="14.25" customHeight="1" x14ac:dyDescent="0.2">
      <c r="A235" s="39" t="str">
        <f t="shared" si="93"/>
        <v>[1adc9501]|ETH|DeadZone|1H</v>
      </c>
      <c r="B235" s="42" t="s">
        <v>28</v>
      </c>
      <c r="C235" s="18">
        <f t="shared" si="94"/>
        <v>0.220038139944257</v>
      </c>
      <c r="D235" s="42" t="s">
        <v>69</v>
      </c>
      <c r="E235" s="42" t="s">
        <v>46</v>
      </c>
      <c r="F235" s="42" t="s">
        <v>70</v>
      </c>
      <c r="G235" s="42" t="s">
        <v>52</v>
      </c>
      <c r="H235" s="2">
        <v>15000</v>
      </c>
      <c r="I235" s="2">
        <f t="shared" si="95"/>
        <v>3150</v>
      </c>
      <c r="J235" s="24">
        <f t="shared" si="96"/>
        <v>3150</v>
      </c>
      <c r="K235" s="1">
        <v>166</v>
      </c>
      <c r="L235" s="19">
        <f>33.14/3.94</f>
        <v>8.4111675126903549</v>
      </c>
      <c r="M235" s="12">
        <v>134</v>
      </c>
      <c r="N235" s="45">
        <v>45802</v>
      </c>
      <c r="O235" s="21">
        <f t="array" ref="O235">IFERROR(INDEX('Strategy Watchlist'!P:P,MATCH($A235,'Strategy Watchlist'!$A:$A,0)),"Not Found")</f>
        <v>0.51</v>
      </c>
      <c r="P235" s="21">
        <f t="array" ref="P235">IFERROR(INDEX('Strategy Watchlist'!Q:Q,MATCH($A235,'Strategy Watchlist'!$A:$A,0)),"Not Found")</f>
        <v>0.63</v>
      </c>
      <c r="Q235" s="21">
        <f t="array" ref="Q235">IFERROR(INDEX('Strategy Watchlist'!R:R,MATCH($A235,'Strategy Watchlist'!$A:$A,0)),"Not Found")</f>
        <v>4.53</v>
      </c>
      <c r="R235" s="21">
        <f t="array" ref="R235">IFERROR(INDEX('Strategy Watchlist'!S:S,MATCH($A235,'Strategy Watchlist'!$A:$A,0)),"Not Found")</f>
        <v>3.6</v>
      </c>
      <c r="S235" s="21">
        <f t="array" ref="S235">IFERROR(INDEX('Strategy Watchlist'!T:T,MATCH($A235,'Strategy Watchlist'!$A:$A,0)),"Not Found")</f>
        <v>1.0900000000000001</v>
      </c>
      <c r="T235" s="21">
        <f t="array" ref="T235">IFERROR(INDEX('Strategy Watchlist'!U:U,MATCH($A235,'Strategy Watchlist'!$A:$A,0)),"Not Found")</f>
        <v>2.31</v>
      </c>
      <c r="U235" s="21">
        <f t="array" ref="U235">IFERROR(INDEX('Strategy Watchlist'!V:V,MATCH($A235,'Strategy Watchlist'!$A:$A,0)),"Not Found")</f>
        <v>0.49</v>
      </c>
      <c r="V235" s="21">
        <f t="array" ref="V235">IFERROR(INDEX('Strategy Watchlist'!W:W,MATCH($A235,'Strategy Watchlist'!$A:$A,0)),"Not Found")</f>
        <v>-1.63</v>
      </c>
      <c r="W235" s="21">
        <f t="array" ref="W235">IFERROR(INDEX('Strategy Watchlist'!X:X,MATCH($A235,'Strategy Watchlist'!$A:$A,0)),"Not Found")</f>
        <v>0.27</v>
      </c>
      <c r="X235" s="21">
        <f t="array" ref="X235">IFERROR(INDEX('Strategy Watchlist'!Y:Y,MATCH($A235,'Strategy Watchlist'!$A:$A,0)),"Not Found")</f>
        <v>2.35</v>
      </c>
      <c r="Y235" s="102" t="str">
        <f t="array" ref="Y235">IFERROR(INDEX('Strategy Watchlist'!Z:Z,MATCH($A235,'Strategy Watchlist'!$A:$A,0)),"Not Found")</f>
        <v>https://www.tradingview.com/chart/P8n5vn8V/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39" t="str">
        <f t="shared" si="97"/>
        <v>[1adc9501]|ETH|DeadZone|1H</v>
      </c>
      <c r="AV235" s="42" t="s">
        <v>62</v>
      </c>
      <c r="AW235" s="17"/>
      <c r="AX235" s="42" t="s">
        <v>69</v>
      </c>
      <c r="AY235" s="42" t="s">
        <v>46</v>
      </c>
      <c r="AZ235" s="42" t="s">
        <v>70</v>
      </c>
      <c r="BA235" s="42" t="s">
        <v>52</v>
      </c>
      <c r="BB235" s="19"/>
      <c r="BC235" s="19"/>
      <c r="BD235" s="19"/>
      <c r="BE235" s="19"/>
      <c r="BF235" s="19">
        <f>33.14/3.94</f>
        <v>8.4111675126903549</v>
      </c>
      <c r="BG235" s="46">
        <v>134</v>
      </c>
      <c r="BH235" s="45">
        <v>45802</v>
      </c>
      <c r="BI235" s="21">
        <v>1.19</v>
      </c>
      <c r="BJ235" s="21">
        <v>0.63</v>
      </c>
      <c r="BK235" s="21">
        <v>4.53</v>
      </c>
      <c r="BL235" s="21">
        <v>3.6</v>
      </c>
      <c r="BM235" s="21">
        <v>1.0900000000000001</v>
      </c>
      <c r="BN235" s="21">
        <v>2.31</v>
      </c>
      <c r="BO235" s="21">
        <v>0.49</v>
      </c>
      <c r="BP235" s="21">
        <v>-1.63</v>
      </c>
      <c r="BQ235" s="21">
        <v>0.27</v>
      </c>
      <c r="BR235" s="21">
        <v>2.35</v>
      </c>
      <c r="BS235" s="47" t="s">
        <v>71</v>
      </c>
      <c r="BT235" s="42"/>
      <c r="BU235" s="42"/>
      <c r="BV235" s="42"/>
      <c r="BW235" s="42"/>
      <c r="BX235" s="42"/>
      <c r="BY235" s="42"/>
      <c r="BZ235" s="42"/>
      <c r="CA235" s="42"/>
      <c r="CB235" s="42"/>
      <c r="CC235" s="42"/>
      <c r="CD235" s="42"/>
      <c r="CE235" s="42"/>
      <c r="CF235" s="42"/>
      <c r="CG235" s="42"/>
      <c r="CH235" s="42"/>
      <c r="CI235" s="42"/>
      <c r="CJ235" s="42"/>
      <c r="CK235" s="42"/>
      <c r="CL235" s="42"/>
      <c r="CM235" s="42"/>
      <c r="CN235" s="42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</row>
    <row r="236" spans="1:119" ht="14.25" customHeight="1" x14ac:dyDescent="0.2">
      <c r="A236" s="39" t="str">
        <f t="shared" si="93"/>
        <v>[f9ce90ca]|SOL|Hacolt|30m</v>
      </c>
      <c r="B236" s="42" t="s">
        <v>28</v>
      </c>
      <c r="C236" s="18">
        <f t="shared" si="94"/>
        <v>0.14669209329617133</v>
      </c>
      <c r="D236" s="42" t="s">
        <v>138</v>
      </c>
      <c r="E236" s="42" t="s">
        <v>43</v>
      </c>
      <c r="F236" s="42" t="s">
        <v>139</v>
      </c>
      <c r="G236" s="42" t="s">
        <v>38</v>
      </c>
      <c r="H236" s="2">
        <v>10000</v>
      </c>
      <c r="I236" s="2">
        <f t="shared" si="95"/>
        <v>2100</v>
      </c>
      <c r="J236" s="24">
        <f t="shared" si="96"/>
        <v>2100</v>
      </c>
      <c r="K236" s="1">
        <v>140</v>
      </c>
      <c r="L236" s="19">
        <f>124.73/5.3</f>
        <v>23.533962264150944</v>
      </c>
      <c r="M236" s="44">
        <v>115</v>
      </c>
      <c r="N236" s="45">
        <v>45682</v>
      </c>
      <c r="O236" s="21">
        <v>3.61</v>
      </c>
      <c r="P236" s="21">
        <v>2.3199999999999998</v>
      </c>
      <c r="Q236" s="21">
        <v>0.33</v>
      </c>
      <c r="R236" s="21">
        <v>0.3</v>
      </c>
      <c r="S236" s="21">
        <v>0.31</v>
      </c>
      <c r="T236" s="21">
        <v>-0.02</v>
      </c>
      <c r="U236" s="21">
        <v>1.42</v>
      </c>
      <c r="V236" s="21">
        <v>1.8</v>
      </c>
      <c r="W236" s="21">
        <v>2.78</v>
      </c>
      <c r="X236" s="21">
        <v>-1.44</v>
      </c>
      <c r="Y236" s="47" t="s">
        <v>140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 t="s">
        <v>62</v>
      </c>
      <c r="AW236" s="17"/>
      <c r="AX236" s="42" t="s">
        <v>138</v>
      </c>
      <c r="AY236" s="42" t="s">
        <v>43</v>
      </c>
      <c r="AZ236" s="42" t="s">
        <v>139</v>
      </c>
      <c r="BA236" s="42" t="s">
        <v>38</v>
      </c>
      <c r="BB236" s="42"/>
      <c r="BC236" s="42"/>
      <c r="BD236" s="42"/>
      <c r="BE236" s="42"/>
      <c r="BF236" s="19">
        <f>124.73/5.3</f>
        <v>23.533962264150944</v>
      </c>
      <c r="BG236" s="44">
        <v>115</v>
      </c>
      <c r="BH236" s="45">
        <v>45682</v>
      </c>
      <c r="BI236" s="21">
        <v>3.61</v>
      </c>
      <c r="BJ236" s="21">
        <v>2.3199999999999998</v>
      </c>
      <c r="BK236" s="21">
        <v>0.33</v>
      </c>
      <c r="BL236" s="21">
        <v>0.3</v>
      </c>
      <c r="BM236" s="21">
        <v>0.31</v>
      </c>
      <c r="BN236" s="21">
        <v>-0.02</v>
      </c>
      <c r="BO236" s="21">
        <v>1.42</v>
      </c>
      <c r="BP236" s="21">
        <v>1.8</v>
      </c>
      <c r="BQ236" s="21">
        <v>2.78</v>
      </c>
      <c r="BR236" s="21">
        <v>-1.44</v>
      </c>
      <c r="BS236" s="47" t="s">
        <v>140</v>
      </c>
      <c r="BT236" s="42"/>
      <c r="BU236" s="42"/>
      <c r="BV236" s="42"/>
      <c r="BW236" s="42"/>
      <c r="BX236" s="42"/>
      <c r="BY236" s="42"/>
      <c r="BZ236" s="42"/>
      <c r="CA236" s="42"/>
      <c r="CB236" s="42"/>
      <c r="CC236" s="42"/>
      <c r="CD236" s="42"/>
      <c r="CE236" s="42"/>
      <c r="CF236" s="42"/>
      <c r="CG236" s="42"/>
      <c r="CH236" s="42"/>
      <c r="CI236" s="42"/>
      <c r="CJ236" s="42"/>
      <c r="CK236" s="42"/>
      <c r="CL236" s="42"/>
      <c r="CM236" s="42"/>
      <c r="CN236" s="42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</row>
    <row r="237" spans="1:119" ht="14.25" customHeight="1" x14ac:dyDescent="0.2">
      <c r="A237" s="39"/>
      <c r="B237" s="17"/>
      <c r="C237" s="17"/>
      <c r="D237" s="17"/>
      <c r="E237" s="17"/>
      <c r="F237" s="17"/>
      <c r="G237" s="17"/>
      <c r="H237" s="17"/>
      <c r="I237" s="12"/>
      <c r="J237" s="24"/>
      <c r="K237" s="17"/>
      <c r="L237" s="19"/>
      <c r="M237" s="17"/>
      <c r="N237" s="45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109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42"/>
      <c r="AN237" s="42"/>
      <c r="AO237" s="42"/>
      <c r="AP237" s="42"/>
      <c r="AQ237" s="42"/>
      <c r="AR237" s="42"/>
      <c r="AS237" s="42"/>
      <c r="AT237" s="42"/>
      <c r="AU237" s="39"/>
      <c r="AV237" s="17"/>
      <c r="AW237" s="17"/>
      <c r="AX237" s="17"/>
      <c r="AY237" s="17"/>
      <c r="AZ237" s="17"/>
      <c r="BA237" s="17"/>
      <c r="BB237" s="17"/>
      <c r="BC237" s="12"/>
      <c r="BD237" s="24"/>
      <c r="BE237" s="17"/>
      <c r="BF237" s="19"/>
      <c r="BG237" s="17"/>
      <c r="BH237" s="45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109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42"/>
      <c r="CH237" s="42"/>
      <c r="CI237" s="42"/>
      <c r="CJ237" s="42"/>
      <c r="CK237" s="42"/>
      <c r="CL237" s="42"/>
      <c r="CM237" s="42"/>
      <c r="CN237" s="42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</row>
    <row r="238" spans="1:119" ht="14.25" customHeight="1" x14ac:dyDescent="0.2">
      <c r="A238" s="36" t="str">
        <f t="shared" ref="A238:A248" si="98">D238&amp;"|"&amp;E238&amp;"|"&amp;F238&amp;"|"&amp;G238</f>
        <v>|68170||</v>
      </c>
      <c r="B238" s="37" t="s">
        <v>141</v>
      </c>
      <c r="C238" s="37"/>
      <c r="D238" s="37"/>
      <c r="E238" s="37">
        <v>68170</v>
      </c>
      <c r="F238" s="37"/>
      <c r="G238" s="37"/>
      <c r="H238" s="37"/>
      <c r="I238" s="38"/>
      <c r="J238" s="38"/>
      <c r="K238" s="37"/>
      <c r="L238" s="19"/>
      <c r="M238" s="12"/>
      <c r="N238" s="20"/>
      <c r="O238" s="21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</row>
    <row r="239" spans="1:119" ht="14.25" customHeight="1" x14ac:dyDescent="0.2">
      <c r="A239" s="39" t="str">
        <f t="shared" si="98"/>
        <v>[6dcd4dc9]|ETH|precisionTrend|30m</v>
      </c>
      <c r="B239" s="17" t="s">
        <v>28</v>
      </c>
      <c r="C239" s="43">
        <f t="shared" ref="C239:C247" si="99">H239/$E$212</f>
        <v>0.17603051195540562</v>
      </c>
      <c r="D239" s="17" t="s">
        <v>86</v>
      </c>
      <c r="E239" s="17" t="s">
        <v>46</v>
      </c>
      <c r="F239" s="17" t="s">
        <v>54</v>
      </c>
      <c r="G239" s="23" t="s">
        <v>38</v>
      </c>
      <c r="H239" s="17">
        <v>12000</v>
      </c>
      <c r="I239" s="40">
        <f t="shared" ref="I239:I247" si="100">H239*0.21</f>
        <v>2520</v>
      </c>
      <c r="J239" s="24">
        <f t="shared" ref="J239:J246" si="101">I239</f>
        <v>2520</v>
      </c>
      <c r="K239" s="17">
        <v>150</v>
      </c>
      <c r="L239" s="43">
        <f>81.98/8.9</f>
        <v>9.2112359550561802</v>
      </c>
      <c r="M239" s="12">
        <v>312</v>
      </c>
      <c r="N239" s="45">
        <v>45772</v>
      </c>
      <c r="O239" s="21">
        <f t="array" ref="O239">IFERROR(INDEX('Strategy Watchlist'!P:P,MATCH($A239,'Strategy Watchlist'!$A:$A,0)),"Not Found")</f>
        <v>1.07</v>
      </c>
      <c r="P239" s="21">
        <v>-2.52</v>
      </c>
      <c r="Q239" s="21">
        <v>1.84</v>
      </c>
      <c r="R239" s="21">
        <v>3.9</v>
      </c>
      <c r="S239" s="21">
        <v>1.37</v>
      </c>
      <c r="T239" s="21">
        <v>6.22</v>
      </c>
      <c r="U239" s="21">
        <v>3</v>
      </c>
      <c r="V239" s="21">
        <v>3.99</v>
      </c>
      <c r="W239" s="21">
        <v>0.93</v>
      </c>
      <c r="X239" s="21">
        <v>2.21</v>
      </c>
      <c r="Y239" s="41" t="s">
        <v>142</v>
      </c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42"/>
      <c r="AN239" s="42"/>
      <c r="AO239" s="42"/>
      <c r="AP239" s="42"/>
      <c r="AQ239" s="42"/>
      <c r="AR239" s="42"/>
      <c r="AS239" s="42"/>
      <c r="AT239" s="42"/>
      <c r="AU239" s="39" t="str">
        <f>AX239&amp;"|"&amp;AY239&amp;"|"&amp;AZ239&amp;"|"&amp;BA239</f>
        <v>[6dcd4dc9]|ETH|precisionTrend|30m</v>
      </c>
      <c r="AV239" s="17" t="s">
        <v>28</v>
      </c>
      <c r="AW239" s="17">
        <v>0.2</v>
      </c>
      <c r="AX239" s="17" t="s">
        <v>86</v>
      </c>
      <c r="AY239" s="17" t="s">
        <v>46</v>
      </c>
      <c r="AZ239" s="17" t="s">
        <v>54</v>
      </c>
      <c r="BA239" s="23" t="s">
        <v>38</v>
      </c>
      <c r="BB239" s="17">
        <v>8000</v>
      </c>
      <c r="BC239" s="40">
        <f>BB239*0.21</f>
        <v>1680</v>
      </c>
      <c r="BD239" s="24">
        <v>6200</v>
      </c>
      <c r="BE239" s="17">
        <v>100</v>
      </c>
      <c r="BF239" s="43">
        <f>81.98/8.9</f>
        <v>9.2112359550561802</v>
      </c>
      <c r="BG239" s="44">
        <v>312</v>
      </c>
      <c r="BH239" s="45">
        <v>45772</v>
      </c>
      <c r="BI239" s="21">
        <v>3.06</v>
      </c>
      <c r="BJ239" s="21">
        <v>-2.52</v>
      </c>
      <c r="BK239" s="21">
        <v>1.84</v>
      </c>
      <c r="BL239" s="21">
        <v>3.9</v>
      </c>
      <c r="BM239" s="21">
        <v>1.37</v>
      </c>
      <c r="BN239" s="21">
        <v>6.22</v>
      </c>
      <c r="BO239" s="21">
        <v>3</v>
      </c>
      <c r="BP239" s="21">
        <v>3.99</v>
      </c>
      <c r="BQ239" s="21">
        <v>0.93</v>
      </c>
      <c r="BR239" s="21">
        <v>2.21</v>
      </c>
      <c r="BS239" s="41" t="s">
        <v>142</v>
      </c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42"/>
      <c r="CH239" s="42"/>
      <c r="CI239" s="42"/>
      <c r="CJ239" s="42"/>
      <c r="CK239" s="42"/>
      <c r="CL239" s="42"/>
      <c r="CM239" s="42"/>
      <c r="CN239" s="42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</row>
    <row r="240" spans="1:119" ht="14.25" customHeight="1" x14ac:dyDescent="0.2">
      <c r="A240" s="17" t="str">
        <f t="shared" si="98"/>
        <v>[1e052093]|SOL|FlashProfit|59m</v>
      </c>
      <c r="B240" s="1" t="s">
        <v>28</v>
      </c>
      <c r="C240" s="43">
        <f t="shared" si="99"/>
        <v>0.14669209329617133</v>
      </c>
      <c r="D240" s="58" t="s">
        <v>83</v>
      </c>
      <c r="E240" s="1" t="s">
        <v>43</v>
      </c>
      <c r="F240" s="1" t="s">
        <v>84</v>
      </c>
      <c r="G240" s="1" t="s">
        <v>85</v>
      </c>
      <c r="H240" s="1">
        <v>10000</v>
      </c>
      <c r="I240" s="2">
        <f t="shared" si="100"/>
        <v>2100</v>
      </c>
      <c r="J240" s="24">
        <f t="shared" si="101"/>
        <v>2100</v>
      </c>
      <c r="K240" s="1">
        <v>120</v>
      </c>
      <c r="L240" s="19">
        <f t="array" ref="L240">IFERROR(INDEX('Strategy Watchlist'!L:L,MATCH($A240,'Strategy Watchlist'!$A:$A,0)),"Not Found")</f>
        <v>4.1988505747126439</v>
      </c>
      <c r="M240" s="12">
        <f t="array" ref="M240">IFERROR(INDEX('Strategy Watchlist'!M:M,MATCH($A240,'Strategy Watchlist'!$A:$A,0)),"Not Found")</f>
        <v>567</v>
      </c>
      <c r="N240" s="20">
        <f t="array" ref="N240">IFERROR(INDEX('Strategy Watchlist'!N:N,MATCH($A240,'Strategy Watchlist'!$A:$A,0)),"Not Found")</f>
        <v>45925</v>
      </c>
      <c r="O240" s="21">
        <f t="array" ref="O240">IFERROR(INDEX('Strategy Watchlist'!P:P,MATCH($A240,'Strategy Watchlist'!$A:$A,0)),"Not Found")</f>
        <v>0.82</v>
      </c>
      <c r="P240" s="21">
        <f t="array" ref="P240">IFERROR(INDEX('Strategy Watchlist'!Q:Q,MATCH($A240,'Strategy Watchlist'!$A:$A,0)),"Not Found")</f>
        <v>6.44</v>
      </c>
      <c r="Q240" s="21">
        <f t="array" ref="Q240">IFERROR(INDEX('Strategy Watchlist'!R:R,MATCH($A240,'Strategy Watchlist'!$A:$A,0)),"Not Found")</f>
        <v>4.43</v>
      </c>
      <c r="R240" s="21">
        <f t="array" ref="R240">IFERROR(INDEX('Strategy Watchlist'!S:S,MATCH($A240,'Strategy Watchlist'!$A:$A,0)),"Not Found")</f>
        <v>-0.32</v>
      </c>
      <c r="S240" s="21">
        <f t="array" ref="S240">IFERROR(INDEX('Strategy Watchlist'!T:T,MATCH($A240,'Strategy Watchlist'!$A:$A,0)),"Not Found")</f>
        <v>0.78</v>
      </c>
      <c r="T240" s="21">
        <f t="array" ref="T240">IFERROR(INDEX('Strategy Watchlist'!U:U,MATCH($A240,'Strategy Watchlist'!$A:$A,0)),"Not Found")</f>
        <v>2.0299999999999998</v>
      </c>
      <c r="U240" s="21">
        <f t="array" ref="U240">IFERROR(INDEX('Strategy Watchlist'!V:V,MATCH($A240,'Strategy Watchlist'!$A:$A,0)),"Not Found")</f>
        <v>0.72</v>
      </c>
      <c r="V240" s="21">
        <f t="array" ref="V240">IFERROR(INDEX('Strategy Watchlist'!W:W,MATCH($A240,'Strategy Watchlist'!$A:$A,0)),"Not Found")</f>
        <v>2.39</v>
      </c>
      <c r="W240" s="21">
        <f t="array" ref="W240">IFERROR(INDEX('Strategy Watchlist'!X:X,MATCH($A240,'Strategy Watchlist'!$A:$A,0)),"Not Found")</f>
        <v>1.96</v>
      </c>
      <c r="X240" s="21">
        <f t="array" ref="X240">IFERROR(INDEX('Strategy Watchlist'!Y:Y,MATCH($A240,'Strategy Watchlist'!$A:$A,0)),"Not Found")</f>
        <v>0.45</v>
      </c>
      <c r="Y240" s="22" t="str">
        <f t="array" ref="Y240">IFERROR(INDEX('Strategy Watchlist'!Z:Z,MATCH($A240,'Strategy Watchlist'!$A:$A,0)),"Not Found")</f>
        <v>https://www.tradingview.com/chart/mnGjsgoY/</v>
      </c>
      <c r="Z240" s="58"/>
      <c r="AA240" s="58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</row>
    <row r="241" spans="1:119" ht="14.25" customHeight="1" x14ac:dyDescent="0.2">
      <c r="A241" s="39" t="str">
        <f t="shared" si="98"/>
        <v>[f2b236fa]|OP|glitchTrend|1H</v>
      </c>
      <c r="B241" s="42" t="s">
        <v>28</v>
      </c>
      <c r="C241" s="43">
        <f t="shared" si="99"/>
        <v>8.8015255977702808E-2</v>
      </c>
      <c r="D241" s="21" t="s">
        <v>59</v>
      </c>
      <c r="E241" s="42" t="s">
        <v>60</v>
      </c>
      <c r="F241" s="42" t="s">
        <v>61</v>
      </c>
      <c r="G241" s="42" t="s">
        <v>52</v>
      </c>
      <c r="H241" s="1">
        <v>6000</v>
      </c>
      <c r="I241" s="2">
        <f t="shared" si="100"/>
        <v>1260</v>
      </c>
      <c r="J241" s="24">
        <f t="shared" si="101"/>
        <v>1260</v>
      </c>
      <c r="K241" s="1">
        <v>70</v>
      </c>
      <c r="L241" s="103">
        <f>57.27/6.84</f>
        <v>8.3728070175438596</v>
      </c>
      <c r="M241" s="44">
        <v>409</v>
      </c>
      <c r="N241" s="81">
        <v>45863</v>
      </c>
      <c r="O241" s="21">
        <f t="array" ref="O241">IFERROR(INDEX('Strategy Watchlist'!P:P,MATCH($A241,'Strategy Watchlist'!$A:$A,0)),"Not Found")</f>
        <v>2.64</v>
      </c>
      <c r="P241" s="21">
        <v>0.13</v>
      </c>
      <c r="Q241" s="21">
        <v>1.69</v>
      </c>
      <c r="R241" s="21">
        <v>6.07</v>
      </c>
      <c r="S241" s="21">
        <v>-3.19</v>
      </c>
      <c r="T241" s="21">
        <v>5.27</v>
      </c>
      <c r="U241" s="21">
        <v>3.43</v>
      </c>
      <c r="V241" s="21">
        <v>2.02</v>
      </c>
      <c r="W241" s="21">
        <v>0.08</v>
      </c>
      <c r="X241" s="21">
        <v>7.85</v>
      </c>
      <c r="Y241" s="47" t="s">
        <v>63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39" t="str">
        <f>AX241&amp;"|"&amp;AY241&amp;"|"&amp;AZ241&amp;"|"&amp;BA241</f>
        <v>[f2b236fa]|OP|glitchTrend|1H</v>
      </c>
      <c r="AV241" s="42" t="s">
        <v>62</v>
      </c>
      <c r="AW241" s="17"/>
      <c r="AX241" s="21" t="s">
        <v>59</v>
      </c>
      <c r="AY241" s="42" t="s">
        <v>60</v>
      </c>
      <c r="AZ241" s="42" t="s">
        <v>61</v>
      </c>
      <c r="BA241" s="42" t="s">
        <v>52</v>
      </c>
      <c r="BB241" s="103"/>
      <c r="BC241" s="103"/>
      <c r="BD241" s="103"/>
      <c r="BE241" s="103"/>
      <c r="BF241" s="103">
        <f>57.27/6.84</f>
        <v>8.3728070175438596</v>
      </c>
      <c r="BG241" s="44">
        <v>409</v>
      </c>
      <c r="BH241" s="81">
        <v>45863</v>
      </c>
      <c r="BI241" s="21">
        <v>0.5</v>
      </c>
      <c r="BJ241" s="21">
        <v>0.13</v>
      </c>
      <c r="BK241" s="21">
        <v>1.69</v>
      </c>
      <c r="BL241" s="21">
        <v>6.07</v>
      </c>
      <c r="BM241" s="21">
        <v>-3.19</v>
      </c>
      <c r="BN241" s="21">
        <v>5.27</v>
      </c>
      <c r="BO241" s="21">
        <v>3.43</v>
      </c>
      <c r="BP241" s="21">
        <v>2.02</v>
      </c>
      <c r="BQ241" s="21">
        <v>0.08</v>
      </c>
      <c r="BR241" s="21">
        <v>7.85</v>
      </c>
      <c r="BS241" s="47" t="s">
        <v>63</v>
      </c>
      <c r="BT241" s="42"/>
      <c r="BU241" s="42"/>
      <c r="BV241" s="42"/>
      <c r="BW241" s="42"/>
      <c r="BX241" s="42"/>
      <c r="BY241" s="42"/>
      <c r="BZ241" s="42"/>
      <c r="CA241" s="42"/>
      <c r="CB241" s="42"/>
      <c r="CC241" s="42"/>
      <c r="CD241" s="42"/>
      <c r="CE241" s="42"/>
      <c r="CF241" s="42"/>
      <c r="CG241" s="42"/>
      <c r="CH241" s="42"/>
      <c r="CI241" s="42"/>
      <c r="CJ241" s="42"/>
      <c r="CK241" s="42"/>
      <c r="CL241" s="42"/>
      <c r="CM241" s="42"/>
      <c r="CN241" s="42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</row>
    <row r="242" spans="1:119" ht="14.25" customHeight="1" x14ac:dyDescent="0.2">
      <c r="A242" s="63" t="str">
        <f t="shared" si="98"/>
        <v>|PePe|T3 Nexus|30m</v>
      </c>
      <c r="B242" s="63" t="s">
        <v>28</v>
      </c>
      <c r="C242" s="88">
        <f t="shared" si="99"/>
        <v>0.11735367463693706</v>
      </c>
      <c r="D242" s="63"/>
      <c r="E242" s="63" t="s">
        <v>40</v>
      </c>
      <c r="F242" s="63" t="s">
        <v>82</v>
      </c>
      <c r="G242" s="63" t="s">
        <v>38</v>
      </c>
      <c r="H242" s="65">
        <v>8000</v>
      </c>
      <c r="I242" s="65">
        <f t="shared" si="100"/>
        <v>1680</v>
      </c>
      <c r="J242" s="65">
        <f t="shared" si="101"/>
        <v>1680</v>
      </c>
      <c r="K242" s="63">
        <v>90</v>
      </c>
      <c r="L242" s="66">
        <f t="array" ref="L242">IFERROR(INDEX('Strategy Watchlist'!L:L,MATCH($A242,'Strategy Watchlist'!$A:$A,0)),"Not Found")</f>
        <v>0.82275229357798174</v>
      </c>
      <c r="M242" s="67">
        <f t="array" ref="M242">IFERROR(INDEX('Strategy Watchlist'!M:M,MATCH($A242,'Strategy Watchlist'!$A:$A,0)),"Not Found")</f>
        <v>748</v>
      </c>
      <c r="N242" s="68">
        <f t="array" ref="N242">IFERROR(INDEX('Strategy Watchlist'!N:N,MATCH($A242,'Strategy Watchlist'!$A:$A,0)),"Not Found")</f>
        <v>45662</v>
      </c>
      <c r="O242" s="69">
        <f t="array" ref="O242">IFERROR(INDEX('Strategy Watchlist'!P:P,MATCH($A242,'Strategy Watchlist'!$A:$A,0)),"Not Found")</f>
        <v>-8.9600000000000009</v>
      </c>
      <c r="P242" s="69">
        <f t="array" ref="P242">IFERROR(INDEX('Strategy Watchlist'!Q:Q,MATCH($A242,'Strategy Watchlist'!$A:$A,0)),"Not Found")</f>
        <v>-0.19</v>
      </c>
      <c r="Q242" s="69">
        <f t="array" ref="Q242">IFERROR(INDEX('Strategy Watchlist'!R:R,MATCH($A242,'Strategy Watchlist'!$A:$A,0)),"Not Found")</f>
        <v>6.1</v>
      </c>
      <c r="R242" s="69">
        <f t="array" ref="R242">IFERROR(INDEX('Strategy Watchlist'!S:S,MATCH($A242,'Strategy Watchlist'!$A:$A,0)),"Not Found")</f>
        <v>3.29</v>
      </c>
      <c r="S242" s="69">
        <f t="array" ref="S242">IFERROR(INDEX('Strategy Watchlist'!T:T,MATCH($A242,'Strategy Watchlist'!$A:$A,0)),"Not Found")</f>
        <v>1.47</v>
      </c>
      <c r="T242" s="69">
        <f t="array" ref="T242">IFERROR(INDEX('Strategy Watchlist'!U:U,MATCH($A242,'Strategy Watchlist'!$A:$A,0)),"Not Found")</f>
        <v>6.2</v>
      </c>
      <c r="U242" s="69">
        <f t="array" ref="U242">IFERROR(INDEX('Strategy Watchlist'!V:V,MATCH($A242,'Strategy Watchlist'!$A:$A,0)),"Not Found")</f>
        <v>-4.5</v>
      </c>
      <c r="V242" s="69">
        <f t="array" ref="V242">IFERROR(INDEX('Strategy Watchlist'!W:W,MATCH($A242,'Strategy Watchlist'!$A:$A,0)),"Not Found")</f>
        <v>4.74</v>
      </c>
      <c r="W242" s="69">
        <f t="array" ref="W242">IFERROR(INDEX('Strategy Watchlist'!X:X,MATCH($A242,'Strategy Watchlist'!$A:$A,0)),"Not Found")</f>
        <v>1.1599999999999999</v>
      </c>
      <c r="X242" s="69">
        <f t="array" ref="X242">IFERROR(INDEX('Strategy Watchlist'!Y:Y,MATCH($A242,'Strategy Watchlist'!$A:$A,0)),"Not Found")</f>
        <v>7.62</v>
      </c>
      <c r="Y242" s="70" t="str">
        <f t="array" ref="Y242">IFERROR(INDEX('Strategy Watchlist'!Z:Z,MATCH($A242,'Strategy Watchlist'!$A:$A,0)),"Not Found")</f>
        <v>https://www.tradingview.com/chart/Kj5ZGHdw/</v>
      </c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</row>
    <row r="243" spans="1:119" ht="14.25" customHeight="1" x14ac:dyDescent="0.2">
      <c r="A243" s="17" t="str">
        <f t="shared" si="98"/>
        <v>17.12.2024|ARB|Heiken-Ashi|45m</v>
      </c>
      <c r="B243" s="1" t="s">
        <v>28</v>
      </c>
      <c r="C243" s="43">
        <f t="shared" si="99"/>
        <v>0.14669209329617133</v>
      </c>
      <c r="D243" s="58" t="s">
        <v>81</v>
      </c>
      <c r="E243" s="1" t="s">
        <v>30</v>
      </c>
      <c r="F243" s="1" t="s">
        <v>37</v>
      </c>
      <c r="G243" s="1" t="s">
        <v>32</v>
      </c>
      <c r="H243" s="1">
        <v>10000</v>
      </c>
      <c r="I243" s="2">
        <f t="shared" si="100"/>
        <v>2100</v>
      </c>
      <c r="J243" s="24">
        <f t="shared" si="101"/>
        <v>2100</v>
      </c>
      <c r="K243" s="1">
        <v>80</v>
      </c>
      <c r="L243" s="19">
        <f t="array" ref="L243">IFERROR(INDEX('Strategy Watchlist'!L:L,MATCH($A243,'Strategy Watchlist'!$A:$A,0)),"Not Found")</f>
        <v>12.102857142857143</v>
      </c>
      <c r="M243" s="12">
        <f t="array" ref="M243">IFERROR(INDEX('Strategy Watchlist'!M:M,MATCH($A243,'Strategy Watchlist'!$A:$A,0)),"Not Found")</f>
        <v>294</v>
      </c>
      <c r="N243" s="20">
        <f t="array" ref="N243">IFERROR(INDEX('Strategy Watchlist'!N:N,MATCH($A243,'Strategy Watchlist'!$A:$A,0)),"Not Found")</f>
        <v>45772</v>
      </c>
      <c r="O243" s="21">
        <f t="array" ref="O243">IFERROR(INDEX('Strategy Watchlist'!P:P,MATCH($A243,'Strategy Watchlist'!$A:$A,0)),"Not Found")</f>
        <v>-0.88</v>
      </c>
      <c r="P243" s="21">
        <f t="array" ref="P243">IFERROR(INDEX('Strategy Watchlist'!Q:Q,MATCH($A243,'Strategy Watchlist'!$A:$A,0)),"Not Found")</f>
        <v>0.46</v>
      </c>
      <c r="Q243" s="21">
        <f t="array" ref="Q243">IFERROR(INDEX('Strategy Watchlist'!R:R,MATCH($A243,'Strategy Watchlist'!$A:$A,0)),"Not Found")</f>
        <v>-0.54</v>
      </c>
      <c r="R243" s="21">
        <f t="array" ref="R243">IFERROR(INDEX('Strategy Watchlist'!S:S,MATCH($A243,'Strategy Watchlist'!$A:$A,0)),"Not Found")</f>
        <v>4.43</v>
      </c>
      <c r="S243" s="21">
        <f t="array" ref="S243">IFERROR(INDEX('Strategy Watchlist'!T:T,MATCH($A243,'Strategy Watchlist'!$A:$A,0)),"Not Found")</f>
        <v>-0.26</v>
      </c>
      <c r="T243" s="21">
        <f t="array" ref="T243">IFERROR(INDEX('Strategy Watchlist'!U:U,MATCH($A243,'Strategy Watchlist'!$A:$A,0)),"Not Found")</f>
        <v>0.04</v>
      </c>
      <c r="U243" s="21">
        <f t="array" ref="U243">IFERROR(INDEX('Strategy Watchlist'!V:V,MATCH($A243,'Strategy Watchlist'!$A:$A,0)),"Not Found")</f>
        <v>1.27</v>
      </c>
      <c r="V243" s="21">
        <f t="array" ref="V243">IFERROR(INDEX('Strategy Watchlist'!W:W,MATCH($A243,'Strategy Watchlist'!$A:$A,0)),"Not Found")</f>
        <v>3.69</v>
      </c>
      <c r="W243" s="21">
        <f t="array" ref="W243">IFERROR(INDEX('Strategy Watchlist'!X:X,MATCH($A243,'Strategy Watchlist'!$A:$A,0)),"Not Found")</f>
        <v>-0.27</v>
      </c>
      <c r="X243" s="21">
        <f t="array" ref="X243">IFERROR(INDEX('Strategy Watchlist'!Y:Y,MATCH($A243,'Strategy Watchlist'!$A:$A,0)),"Not Found")</f>
        <v>3.17</v>
      </c>
      <c r="Y243" s="22" t="str">
        <f t="array" ref="Y243">IFERROR(INDEX('Strategy Watchlist'!Z:Z,MATCH($A243,'Strategy Watchlist'!$A:$A,0)),"Not Found")</f>
        <v>https://www.tradingview.com/chart/9cT1VRvW/</v>
      </c>
      <c r="Z243" s="58"/>
      <c r="AA243" s="58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</row>
    <row r="244" spans="1:119" ht="14.25" customHeight="1" x14ac:dyDescent="0.2">
      <c r="A244" s="17" t="str">
        <f t="shared" si="98"/>
        <v>|LINK|McGinley|45m</v>
      </c>
      <c r="B244" s="17" t="s">
        <v>28</v>
      </c>
      <c r="C244" s="43">
        <f t="shared" si="99"/>
        <v>0.14669209329617133</v>
      </c>
      <c r="D244" s="17"/>
      <c r="E244" s="17" t="s">
        <v>25</v>
      </c>
      <c r="F244" s="17" t="s">
        <v>47</v>
      </c>
      <c r="G244" s="17" t="s">
        <v>32</v>
      </c>
      <c r="H244" s="24">
        <v>10000</v>
      </c>
      <c r="I244" s="24">
        <f t="shared" si="100"/>
        <v>2100</v>
      </c>
      <c r="J244" s="24">
        <f t="shared" si="101"/>
        <v>2100</v>
      </c>
      <c r="K244" s="17">
        <v>120</v>
      </c>
      <c r="L244" s="19">
        <f t="array" ref="L244">IFERROR(INDEX('Strategy Watchlist'!L:L,MATCH($A244,'Strategy Watchlist'!$A:$A,0)),"Not Found")</f>
        <v>7.7349823321554769</v>
      </c>
      <c r="M244" s="12">
        <f t="array" ref="M244">IFERROR(INDEX('Strategy Watchlist'!M:M,MATCH($A244,'Strategy Watchlist'!$A:$A,0)),"Not Found")</f>
        <v>147</v>
      </c>
      <c r="N244" s="20">
        <f t="array" ref="N244">IFERROR(INDEX('Strategy Watchlist'!N:N,MATCH($A244,'Strategy Watchlist'!$A:$A,0)),"Not Found")</f>
        <v>45802</v>
      </c>
      <c r="O244" s="21">
        <f t="array" ref="O244">IFERROR(INDEX('Strategy Watchlist'!P:P,MATCH($A244,'Strategy Watchlist'!$A:$A,0)),"Not Found")</f>
        <v>-0.55000000000000004</v>
      </c>
      <c r="P244" s="21">
        <f t="array" ref="P244">IFERROR(INDEX('Strategy Watchlist'!Q:Q,MATCH($A244,'Strategy Watchlist'!$A:$A,0)),"Not Found")</f>
        <v>-1.1000000000000001</v>
      </c>
      <c r="Q244" s="21">
        <f t="array" ref="Q244">IFERROR(INDEX('Strategy Watchlist'!R:R,MATCH($A244,'Strategy Watchlist'!$A:$A,0)),"Not Found")</f>
        <v>2.98</v>
      </c>
      <c r="R244" s="21">
        <f t="array" ref="R244">IFERROR(INDEX('Strategy Watchlist'!S:S,MATCH($A244,'Strategy Watchlist'!$A:$A,0)),"Not Found")</f>
        <v>2.97</v>
      </c>
      <c r="S244" s="21">
        <f t="array" ref="S244">IFERROR(INDEX('Strategy Watchlist'!T:T,MATCH($A244,'Strategy Watchlist'!$A:$A,0)),"Not Found")</f>
        <v>2.9</v>
      </c>
      <c r="T244" s="21">
        <f t="array" ref="T244">IFERROR(INDEX('Strategy Watchlist'!U:U,MATCH($A244,'Strategy Watchlist'!$A:$A,0)),"Not Found")</f>
        <v>2</v>
      </c>
      <c r="U244" s="21">
        <f t="array" ref="U244">IFERROR(INDEX('Strategy Watchlist'!V:V,MATCH($A244,'Strategy Watchlist'!$A:$A,0)),"Not Found")</f>
        <v>2.2400000000000002</v>
      </c>
      <c r="V244" s="21">
        <f t="array" ref="V244">IFERROR(INDEX('Strategy Watchlist'!W:W,MATCH($A244,'Strategy Watchlist'!$A:$A,0)),"Not Found")</f>
        <v>0.79</v>
      </c>
      <c r="W244" s="21">
        <f t="array" ref="W244">IFERROR(INDEX('Strategy Watchlist'!X:X,MATCH($A244,'Strategy Watchlist'!$A:$A,0)),"Not Found")</f>
        <v>0.69</v>
      </c>
      <c r="X244" s="21">
        <f t="array" ref="X244">IFERROR(INDEX('Strategy Watchlist'!Y:Y,MATCH($A244,'Strategy Watchlist'!$A:$A,0)),"Not Found")</f>
        <v>-0.61</v>
      </c>
      <c r="Y244" s="22" t="str">
        <f t="array" ref="Y244">IFERROR(INDEX('Strategy Watchlist'!Z:Z,MATCH($A244,'Strategy Watchlist'!$A:$A,0)),"Not Found")</f>
        <v>https://www.tradingview.com/chart/elrmSYee/</v>
      </c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</row>
    <row r="245" spans="1:119" ht="14.25" customHeight="1" x14ac:dyDescent="0.2">
      <c r="A245" s="25" t="str">
        <f t="shared" si="98"/>
        <v>[da58bf67]|NEAR|Trendhoo|30m</v>
      </c>
      <c r="B245" s="26" t="s">
        <v>28</v>
      </c>
      <c r="C245" s="27">
        <f t="shared" si="99"/>
        <v>8.8015255977702808E-2</v>
      </c>
      <c r="D245" s="28" t="s">
        <v>87</v>
      </c>
      <c r="E245" s="26" t="s">
        <v>57</v>
      </c>
      <c r="F245" s="29" t="s">
        <v>67</v>
      </c>
      <c r="G245" s="26" t="s">
        <v>38</v>
      </c>
      <c r="H245" s="30">
        <v>6000</v>
      </c>
      <c r="I245" s="30">
        <f t="shared" si="100"/>
        <v>1260</v>
      </c>
      <c r="J245" s="30">
        <f t="shared" si="101"/>
        <v>1260</v>
      </c>
      <c r="K245" s="29">
        <v>70</v>
      </c>
      <c r="L245" s="72">
        <f>44.54/7.45</f>
        <v>5.9785234899328854</v>
      </c>
      <c r="M245" s="75">
        <v>188</v>
      </c>
      <c r="N245" s="33">
        <v>45802</v>
      </c>
      <c r="O245" s="28">
        <v>0.27</v>
      </c>
      <c r="P245" s="28">
        <v>0</v>
      </c>
      <c r="Q245" s="28">
        <v>4.76</v>
      </c>
      <c r="R245" s="28">
        <v>1.93</v>
      </c>
      <c r="S245" s="28">
        <v>1.34</v>
      </c>
      <c r="T245" s="28">
        <v>2.2999999999999998</v>
      </c>
      <c r="U245" s="28">
        <v>0.08</v>
      </c>
      <c r="V245" s="28">
        <v>1.26</v>
      </c>
      <c r="W245" s="28">
        <v>1.01</v>
      </c>
      <c r="X245" s="28">
        <v>5.82</v>
      </c>
      <c r="Y245" s="35" t="s">
        <v>88</v>
      </c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5" t="str">
        <f>AX245&amp;"|"&amp;AY245&amp;"|"&amp;AZ245&amp;"|"&amp;BA245</f>
        <v>[da58bf67]|NEAR|Trendhoo|30m</v>
      </c>
      <c r="AV245" s="26" t="s">
        <v>62</v>
      </c>
      <c r="AW245" s="29"/>
      <c r="AX245" s="28" t="s">
        <v>87</v>
      </c>
      <c r="AY245" s="26" t="s">
        <v>57</v>
      </c>
      <c r="AZ245" s="29" t="s">
        <v>67</v>
      </c>
      <c r="BA245" s="26" t="s">
        <v>38</v>
      </c>
      <c r="BB245" s="72"/>
      <c r="BC245" s="72"/>
      <c r="BD245" s="72"/>
      <c r="BE245" s="72"/>
      <c r="BF245" s="72">
        <f>44.54/7.45</f>
        <v>5.9785234899328854</v>
      </c>
      <c r="BG245" s="75">
        <v>188</v>
      </c>
      <c r="BH245" s="33">
        <v>45802</v>
      </c>
      <c r="BI245" s="28">
        <v>0.27</v>
      </c>
      <c r="BJ245" s="28">
        <v>0</v>
      </c>
      <c r="BK245" s="28">
        <v>4.76</v>
      </c>
      <c r="BL245" s="28">
        <v>1.93</v>
      </c>
      <c r="BM245" s="28">
        <v>1.34</v>
      </c>
      <c r="BN245" s="28">
        <v>2.2999999999999998</v>
      </c>
      <c r="BO245" s="28">
        <v>0.08</v>
      </c>
      <c r="BP245" s="28">
        <v>1.26</v>
      </c>
      <c r="BQ245" s="28">
        <v>1.01</v>
      </c>
      <c r="BR245" s="28">
        <v>5.82</v>
      </c>
      <c r="BS245" s="35" t="s">
        <v>88</v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</row>
    <row r="246" spans="1:119" ht="14.25" customHeight="1" x14ac:dyDescent="0.2">
      <c r="A246" s="17" t="str">
        <f t="shared" si="98"/>
        <v>[b39d1d6e]|PIXEL|WolfnBear|1H</v>
      </c>
      <c r="B246" s="1" t="s">
        <v>28</v>
      </c>
      <c r="C246" s="18">
        <f t="shared" si="99"/>
        <v>0.14669209329617133</v>
      </c>
      <c r="D246" s="58" t="s">
        <v>93</v>
      </c>
      <c r="E246" s="1" t="s">
        <v>94</v>
      </c>
      <c r="F246" s="1" t="s">
        <v>51</v>
      </c>
      <c r="G246" s="1" t="s">
        <v>52</v>
      </c>
      <c r="H246" s="2">
        <v>10000</v>
      </c>
      <c r="I246" s="40">
        <f t="shared" si="100"/>
        <v>2100</v>
      </c>
      <c r="J246" s="2">
        <f t="shared" si="101"/>
        <v>2100</v>
      </c>
      <c r="K246" s="2">
        <v>100</v>
      </c>
      <c r="L246" s="19">
        <f t="array" ref="L246">IFERROR(INDEX('Strategy Watchlist'!L:L,MATCH($A246,'Strategy Watchlist'!$A:$A,0)),"Not Found")</f>
        <v>6.7377398720682304</v>
      </c>
      <c r="M246" s="12">
        <f t="array" ref="M246">IFERROR(INDEX('Strategy Watchlist'!M:M,MATCH($A246,'Strategy Watchlist'!$A:$A,0)),"Not Found")</f>
        <v>124</v>
      </c>
      <c r="N246" s="20">
        <f t="array" ref="N246">IFERROR(INDEX('Strategy Watchlist'!N:N,MATCH($A246,'Strategy Watchlist'!$A:$A,0)),"Not Found")</f>
        <v>45833</v>
      </c>
      <c r="O246" s="21">
        <f t="array" ref="O246">IFERROR(INDEX('Strategy Watchlist'!P:P,MATCH($A246,'Strategy Watchlist'!$A:$A,0)),"Not Found")</f>
        <v>1.78</v>
      </c>
      <c r="P246" s="21">
        <f t="array" ref="P246">IFERROR(INDEX('Strategy Watchlist'!Q:Q,MATCH($A246,'Strategy Watchlist'!$A:$A,0)),"Not Found")</f>
        <v>-0.57999999999999996</v>
      </c>
      <c r="Q246" s="21">
        <f t="array" ref="Q246">IFERROR(INDEX('Strategy Watchlist'!R:R,MATCH($A246,'Strategy Watchlist'!$A:$A,0)),"Not Found")</f>
        <v>2.67</v>
      </c>
      <c r="R246" s="21">
        <f t="array" ref="R246">IFERROR(INDEX('Strategy Watchlist'!S:S,MATCH($A246,'Strategy Watchlist'!$A:$A,0)),"Not Found")</f>
        <v>4.07</v>
      </c>
      <c r="S246" s="21">
        <f t="array" ref="S246">IFERROR(INDEX('Strategy Watchlist'!T:T,MATCH($A246,'Strategy Watchlist'!$A:$A,0)),"Not Found")</f>
        <v>2.2999999999999998</v>
      </c>
      <c r="T246" s="21">
        <f t="array" ref="T246">IFERROR(INDEX('Strategy Watchlist'!U:U,MATCH($A246,'Strategy Watchlist'!$A:$A,0)),"Not Found")</f>
        <v>1.05</v>
      </c>
      <c r="U246" s="21">
        <f t="array" ref="U246">IFERROR(INDEX('Strategy Watchlist'!V:V,MATCH($A246,'Strategy Watchlist'!$A:$A,0)),"Not Found")</f>
        <v>-1.1299999999999999</v>
      </c>
      <c r="V246" s="21">
        <f t="array" ref="V246">IFERROR(INDEX('Strategy Watchlist'!W:W,MATCH($A246,'Strategy Watchlist'!$A:$A,0)),"Not Found")</f>
        <v>0.64</v>
      </c>
      <c r="W246" s="21">
        <f t="array" ref="W246">IFERROR(INDEX('Strategy Watchlist'!X:X,MATCH($A246,'Strategy Watchlist'!$A:$A,0)),"Not Found")</f>
        <v>-0.53</v>
      </c>
      <c r="X246" s="21">
        <f t="array" ref="X246">IFERROR(INDEX('Strategy Watchlist'!Y:Y,MATCH($A246,'Strategy Watchlist'!$A:$A,0)),"Not Found")</f>
        <v>-0.16</v>
      </c>
      <c r="Y246" s="22" t="str">
        <f t="array" ref="Y246">IFERROR(INDEX('Strategy Watchlist'!Z:Z,MATCH($A246,'Strategy Watchlist'!$A:$A,0)),"Not Found")</f>
        <v>https://www.tradingview.com/chart/7HMGQSsJ/</v>
      </c>
      <c r="Z246" s="58"/>
      <c r="AA246" s="58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">
        <v>62</v>
      </c>
      <c r="AV246" s="1" t="s">
        <v>95</v>
      </c>
      <c r="AW246" s="1" t="s">
        <v>94</v>
      </c>
      <c r="AX246" s="1" t="s">
        <v>51</v>
      </c>
      <c r="AY246" s="18">
        <v>8.125</v>
      </c>
      <c r="AZ246" s="4">
        <v>124</v>
      </c>
      <c r="BA246" s="1" t="s">
        <v>52</v>
      </c>
      <c r="BB246" s="76">
        <v>45833</v>
      </c>
      <c r="BC246" s="77">
        <v>-0.09</v>
      </c>
      <c r="BD246" s="77">
        <v>2.89</v>
      </c>
      <c r="BE246" s="77">
        <v>4.46</v>
      </c>
      <c r="BF246" s="77">
        <v>2.52</v>
      </c>
      <c r="BG246" s="77">
        <v>1.25</v>
      </c>
      <c r="BH246" s="77">
        <v>-1.1299999999999999</v>
      </c>
      <c r="BI246" s="77">
        <v>0.64</v>
      </c>
      <c r="BJ246" s="77">
        <v>-0.53</v>
      </c>
      <c r="BK246" s="77">
        <v>-0.16</v>
      </c>
      <c r="BL246" s="1" t="s">
        <v>93</v>
      </c>
      <c r="BM246" s="1" t="s">
        <v>96</v>
      </c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</row>
    <row r="247" spans="1:119" ht="14.25" customHeight="1" x14ac:dyDescent="0.2">
      <c r="A247" s="17" t="str">
        <f t="shared" si="98"/>
        <v>[65caeaa0]|ROSE|WolfnBear|1H</v>
      </c>
      <c r="B247" s="1" t="s">
        <v>28</v>
      </c>
      <c r="C247" s="18">
        <f t="shared" si="99"/>
        <v>0.11735367463693706</v>
      </c>
      <c r="D247" s="1" t="s">
        <v>49</v>
      </c>
      <c r="E247" s="1" t="s">
        <v>50</v>
      </c>
      <c r="F247" s="1" t="s">
        <v>51</v>
      </c>
      <c r="G247" s="1" t="s">
        <v>52</v>
      </c>
      <c r="H247" s="2">
        <v>8000</v>
      </c>
      <c r="I247" s="2">
        <f t="shared" si="100"/>
        <v>1680</v>
      </c>
      <c r="J247" s="2">
        <v>780</v>
      </c>
      <c r="K247" s="1">
        <v>60</v>
      </c>
      <c r="L247" s="19">
        <f t="array" ref="L247">IFERROR(INDEX('Strategy Watchlist'!L:L,MATCH($A247,'Strategy Watchlist'!$A:$A,0)),"Not Found")</f>
        <v>9.1257485029940124</v>
      </c>
      <c r="M247" s="12">
        <f t="array" ref="M247">IFERROR(INDEX('Strategy Watchlist'!M:M,MATCH($A247,'Strategy Watchlist'!$A:$A,0)),"Not Found")</f>
        <v>172</v>
      </c>
      <c r="N247" s="20">
        <f t="array" ref="N247">IFERROR(INDEX('Strategy Watchlist'!N:N,MATCH($A247,'Strategy Watchlist'!$A:$A,0)),"Not Found")</f>
        <v>45682</v>
      </c>
      <c r="O247" s="21">
        <f t="array" ref="O247">IFERROR(INDEX('Strategy Watchlist'!P:P,MATCH($A247,'Strategy Watchlist'!$A:$A,0)),"Not Found")</f>
        <v>1.04</v>
      </c>
      <c r="P247" s="21">
        <f t="array" ref="P247">IFERROR(INDEX('Strategy Watchlist'!Q:Q,MATCH($A247,'Strategy Watchlist'!$A:$A,0)),"Not Found")</f>
        <v>2.39</v>
      </c>
      <c r="Q247" s="21">
        <f t="array" ref="Q247">IFERROR(INDEX('Strategy Watchlist'!R:R,MATCH($A247,'Strategy Watchlist'!$A:$A,0)),"Not Found")</f>
        <v>0.38</v>
      </c>
      <c r="R247" s="21">
        <f t="array" ref="R247">IFERROR(INDEX('Strategy Watchlist'!S:S,MATCH($A247,'Strategy Watchlist'!$A:$A,0)),"Not Found")</f>
        <v>1.76</v>
      </c>
      <c r="S247" s="21">
        <f t="array" ref="S247">IFERROR(INDEX('Strategy Watchlist'!T:T,MATCH($A247,'Strategy Watchlist'!$A:$A,0)),"Not Found")</f>
        <v>0.72</v>
      </c>
      <c r="T247" s="21">
        <f t="array" ref="T247">IFERROR(INDEX('Strategy Watchlist'!U:U,MATCH($A247,'Strategy Watchlist'!$A:$A,0)),"Not Found")</f>
        <v>-0.84</v>
      </c>
      <c r="U247" s="21">
        <f t="array" ref="U247">IFERROR(INDEX('Strategy Watchlist'!V:V,MATCH($A247,'Strategy Watchlist'!$A:$A,0)),"Not Found")</f>
        <v>-0.24</v>
      </c>
      <c r="V247" s="21">
        <f t="array" ref="V247">IFERROR(INDEX('Strategy Watchlist'!W:W,MATCH($A247,'Strategy Watchlist'!$A:$A,0)),"Not Found")</f>
        <v>-1.19</v>
      </c>
      <c r="W247" s="21">
        <f t="array" ref="W247">IFERROR(INDEX('Strategy Watchlist'!X:X,MATCH($A247,'Strategy Watchlist'!$A:$A,0)),"Not Found")</f>
        <v>0.18</v>
      </c>
      <c r="X247" s="21">
        <f t="array" ref="X247">IFERROR(INDEX('Strategy Watchlist'!Y:Y,MATCH($A247,'Strategy Watchlist'!$A:$A,0)),"Not Found")</f>
        <v>2.34</v>
      </c>
      <c r="Y247" s="22" t="str">
        <f t="array" ref="Y247">IFERROR(INDEX('Strategy Watchlist'!Z:Z,MATCH($A247,'Strategy Watchlist'!$A:$A,0)),"Not Found")</f>
        <v>https://www.tradingview.com/chart/p2Bvj1LX/</v>
      </c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</row>
    <row r="248" spans="1:119" ht="14.25" customHeight="1" x14ac:dyDescent="0.2">
      <c r="A248" s="17" t="str">
        <f t="shared" si="98"/>
        <v>3x|BTC|DCA|30m</v>
      </c>
      <c r="B248" s="1" t="s">
        <v>28</v>
      </c>
      <c r="C248" s="1"/>
      <c r="D248" s="18" t="s">
        <v>116</v>
      </c>
      <c r="E248" s="1" t="s">
        <v>73</v>
      </c>
      <c r="F248" s="1" t="s">
        <v>105</v>
      </c>
      <c r="G248" s="1" t="s">
        <v>38</v>
      </c>
      <c r="H248" s="2">
        <v>15187</v>
      </c>
      <c r="I248" s="18">
        <v>4</v>
      </c>
      <c r="J248" s="2">
        <f>H248*I248</f>
        <v>60748</v>
      </c>
      <c r="K248" s="1"/>
      <c r="L248" s="19"/>
      <c r="M248" s="24"/>
      <c r="N248" s="1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</row>
    <row r="249" spans="1:119" ht="14.25" customHeight="1" x14ac:dyDescent="0.2">
      <c r="A249" s="17"/>
      <c r="B249" s="1"/>
      <c r="C249" s="1"/>
      <c r="D249" s="1"/>
      <c r="E249" s="1"/>
      <c r="F249" s="1"/>
      <c r="G249" s="1"/>
      <c r="H249" s="1"/>
      <c r="I249" s="2"/>
      <c r="J249" s="2"/>
      <c r="K249" s="1"/>
      <c r="L249" s="19"/>
      <c r="M249" s="4"/>
      <c r="N249" s="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</row>
    <row r="250" spans="1:119" ht="14.25" customHeight="1" x14ac:dyDescent="0.2">
      <c r="A250" s="17"/>
      <c r="B250" s="1"/>
      <c r="C250" s="1"/>
      <c r="D250" s="1"/>
      <c r="E250" s="1"/>
      <c r="F250" s="1"/>
      <c r="G250" s="1"/>
      <c r="H250" s="1"/>
      <c r="I250" s="2"/>
      <c r="J250" s="2"/>
      <c r="K250" s="1"/>
      <c r="L250" s="19"/>
      <c r="M250" s="4"/>
      <c r="N250" s="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</row>
    <row r="251" spans="1:119" ht="14.25" customHeight="1" x14ac:dyDescent="0.2">
      <c r="A251" s="17"/>
      <c r="B251" s="1"/>
      <c r="C251" s="1"/>
      <c r="D251" s="1"/>
      <c r="E251" s="1"/>
      <c r="F251" s="1"/>
      <c r="G251" s="1"/>
      <c r="H251" s="1"/>
      <c r="I251" s="2"/>
      <c r="J251" s="2"/>
      <c r="K251" s="1"/>
      <c r="L251" s="19"/>
      <c r="M251" s="4"/>
      <c r="N251" s="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</row>
    <row r="252" spans="1:119" ht="14.25" customHeight="1" x14ac:dyDescent="0.2">
      <c r="A252" s="17" t="str">
        <f t="shared" ref="A252:A279" si="102">D252&amp;"|"&amp;E252&amp;"|"&amp;F252&amp;"|"&amp;G252</f>
        <v>|||</v>
      </c>
      <c r="B252" s="5" t="s">
        <v>143</v>
      </c>
      <c r="C252" s="5"/>
      <c r="D252" s="5"/>
      <c r="E252" s="5"/>
      <c r="F252" s="5"/>
      <c r="G252" s="5"/>
      <c r="H252" s="5"/>
      <c r="I252" s="5"/>
      <c r="J252" s="5"/>
      <c r="K252" s="5"/>
      <c r="L252" s="5">
        <f t="array" ref="L252">IFERROR(INDEX('Strategy Watchlist'!L:L,MATCH($A252,'Strategy Watchlist'!$A:$A,0)),"Not Found")</f>
        <v>0</v>
      </c>
      <c r="M252" s="5"/>
      <c r="N252" s="6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</row>
    <row r="253" spans="1:119" ht="14.25" customHeight="1" x14ac:dyDescent="0.2">
      <c r="A253" s="17" t="str">
        <f t="shared" si="102"/>
        <v>[17ab2738]|ARB|stiff Surge|45m</v>
      </c>
      <c r="B253" s="23" t="s">
        <v>95</v>
      </c>
      <c r="C253" s="23">
        <f t="shared" ref="C253:C279" si="103">H253/40000</f>
        <v>0.5</v>
      </c>
      <c r="D253" s="23" t="s">
        <v>29</v>
      </c>
      <c r="E253" s="23" t="s">
        <v>30</v>
      </c>
      <c r="F253" s="23" t="s">
        <v>31</v>
      </c>
      <c r="G253" s="23" t="s">
        <v>32</v>
      </c>
      <c r="H253" s="40">
        <v>20000</v>
      </c>
      <c r="I253" s="40">
        <f t="shared" ref="I253:I279" si="104">H253*0.21</f>
        <v>4200</v>
      </c>
      <c r="J253" s="40">
        <v>7500</v>
      </c>
      <c r="K253" s="23">
        <v>200</v>
      </c>
      <c r="L253" s="19">
        <f t="array" ref="L253">IFERROR(INDEX('Strategy Watchlist'!L:L,MATCH($A253,'Strategy Watchlist'!$A:$A,0)),"Not Found")</f>
        <v>10.965644171779141</v>
      </c>
      <c r="M253" s="19">
        <f t="array" ref="M253">IFERROR(INDEX('Strategy Watchlist'!M:M,MATCH($A253,'Strategy Watchlist'!$A:$A,0)),"Not Found")</f>
        <v>824</v>
      </c>
      <c r="N253" s="20">
        <f t="array" ref="N253">IFERROR(INDEX('Strategy Watchlist'!N:N,MATCH($A253,'Strategy Watchlist'!$A:$A,0)),"Not Found")</f>
        <v>45689</v>
      </c>
      <c r="O253" s="21"/>
      <c r="P253" s="21">
        <f t="array" ref="P253">IFERROR(INDEX('Strategy Watchlist'!Q:Q,MATCH($A253,'Strategy Watchlist'!$A:$A,0)),"Not Found")</f>
        <v>-6.85</v>
      </c>
      <c r="Q253" s="21">
        <f t="array" ref="Q253">IFERROR(INDEX('Strategy Watchlist'!R:R,MATCH($A253,'Strategy Watchlist'!$A:$A,0)),"Not Found")</f>
        <v>1.99</v>
      </c>
      <c r="R253" s="21">
        <f t="array" ref="R253">IFERROR(INDEX('Strategy Watchlist'!S:S,MATCH($A253,'Strategy Watchlist'!$A:$A,0)),"Not Found")</f>
        <v>6.96</v>
      </c>
      <c r="S253" s="21">
        <f t="array" ref="S253">IFERROR(INDEX('Strategy Watchlist'!T:T,MATCH($A253,'Strategy Watchlist'!$A:$A,0)),"Not Found")</f>
        <v>8.0739999999999998</v>
      </c>
      <c r="T253" s="21">
        <f t="array" ref="T253">IFERROR(INDEX('Strategy Watchlist'!U:U,MATCH($A253,'Strategy Watchlist'!$A:$A,0)),"Not Found")</f>
        <v>11.5</v>
      </c>
      <c r="U253" s="21">
        <f t="array" ref="U253">IFERROR(INDEX('Strategy Watchlist'!V:V,MATCH($A253,'Strategy Watchlist'!$A:$A,0)),"Not Found")</f>
        <v>2.75</v>
      </c>
      <c r="V253" s="21">
        <f t="array" ref="V253">IFERROR(INDEX('Strategy Watchlist'!W:W,MATCH($A253,'Strategy Watchlist'!$A:$A,0)),"Not Found")</f>
        <v>2.57</v>
      </c>
      <c r="W253" s="21">
        <f t="array" ref="W253">IFERROR(INDEX('Strategy Watchlist'!X:X,MATCH($A253,'Strategy Watchlist'!$A:$A,0)),"Not Found")</f>
        <v>6.31</v>
      </c>
      <c r="X253" s="21">
        <f t="array" ref="X253">IFERROR(INDEX('Strategy Watchlist'!Y:Y,MATCH($A253,'Strategy Watchlist'!$A:$A,0)),"Not Found")</f>
        <v>7.91</v>
      </c>
      <c r="Y253" s="22" t="str">
        <f t="array" ref="Y253">IFERROR(INDEX('Strategy Watchlist'!Z:Z,MATCH($A253,'Strategy Watchlist'!$A:$A,0)),"Not Found")</f>
        <v>https://www.tradingview.com/chart/EjQUtmuc/</v>
      </c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</row>
    <row r="254" spans="1:119" ht="14.25" customHeight="1" x14ac:dyDescent="0.2">
      <c r="A254" s="17" t="str">
        <f t="shared" si="102"/>
        <v>17.12.2024|ARB|Heiken-Ashi|45m</v>
      </c>
      <c r="B254" s="1"/>
      <c r="C254" s="23">
        <f t="shared" si="103"/>
        <v>0.25</v>
      </c>
      <c r="D254" s="58" t="s">
        <v>81</v>
      </c>
      <c r="E254" s="1" t="s">
        <v>30</v>
      </c>
      <c r="F254" s="1" t="s">
        <v>37</v>
      </c>
      <c r="G254" s="1" t="s">
        <v>32</v>
      </c>
      <c r="H254" s="1">
        <v>10000</v>
      </c>
      <c r="I254" s="40">
        <f t="shared" si="104"/>
        <v>2100</v>
      </c>
      <c r="J254" s="2">
        <v>2500</v>
      </c>
      <c r="K254" s="1">
        <v>90</v>
      </c>
      <c r="L254" s="19">
        <f t="array" ref="L254">IFERROR(INDEX('Strategy Watchlist'!L:L,MATCH($A254,'Strategy Watchlist'!$A:$A,0)),"Not Found")</f>
        <v>12.102857142857143</v>
      </c>
      <c r="M254" s="19">
        <f t="array" ref="M254">IFERROR(INDEX('Strategy Watchlist'!M:M,MATCH($A254,'Strategy Watchlist'!$A:$A,0)),"Not Found")</f>
        <v>294</v>
      </c>
      <c r="N254" s="20">
        <f t="array" ref="N254">IFERROR(INDEX('Strategy Watchlist'!N:N,MATCH($A254,'Strategy Watchlist'!$A:$A,0)),"Not Found")</f>
        <v>45772</v>
      </c>
      <c r="O254" s="21"/>
      <c r="P254" s="21">
        <f t="array" ref="P254">IFERROR(INDEX('Strategy Watchlist'!Q:Q,MATCH($A254,'Strategy Watchlist'!$A:$A,0)),"Not Found")</f>
        <v>0.46</v>
      </c>
      <c r="Q254" s="21">
        <f t="array" ref="Q254">IFERROR(INDEX('Strategy Watchlist'!R:R,MATCH($A254,'Strategy Watchlist'!$A:$A,0)),"Not Found")</f>
        <v>-0.54</v>
      </c>
      <c r="R254" s="21">
        <f t="array" ref="R254">IFERROR(INDEX('Strategy Watchlist'!S:S,MATCH($A254,'Strategy Watchlist'!$A:$A,0)),"Not Found")</f>
        <v>4.43</v>
      </c>
      <c r="S254" s="21">
        <f t="array" ref="S254">IFERROR(INDEX('Strategy Watchlist'!T:T,MATCH($A254,'Strategy Watchlist'!$A:$A,0)),"Not Found")</f>
        <v>-0.26</v>
      </c>
      <c r="T254" s="21">
        <f t="array" ref="T254">IFERROR(INDEX('Strategy Watchlist'!U:U,MATCH($A254,'Strategy Watchlist'!$A:$A,0)),"Not Found")</f>
        <v>0.04</v>
      </c>
      <c r="U254" s="21">
        <f t="array" ref="U254">IFERROR(INDEX('Strategy Watchlist'!V:V,MATCH($A254,'Strategy Watchlist'!$A:$A,0)),"Not Found")</f>
        <v>1.27</v>
      </c>
      <c r="V254" s="21">
        <f t="array" ref="V254">IFERROR(INDEX('Strategy Watchlist'!W:W,MATCH($A254,'Strategy Watchlist'!$A:$A,0)),"Not Found")</f>
        <v>3.69</v>
      </c>
      <c r="W254" s="21">
        <f t="array" ref="W254">IFERROR(INDEX('Strategy Watchlist'!X:X,MATCH($A254,'Strategy Watchlist'!$A:$A,0)),"Not Found")</f>
        <v>-0.27</v>
      </c>
      <c r="X254" s="21">
        <f t="array" ref="X254">IFERROR(INDEX('Strategy Watchlist'!Y:Y,MATCH($A254,'Strategy Watchlist'!$A:$A,0)),"Not Found")</f>
        <v>3.17</v>
      </c>
      <c r="Y254" s="22" t="str">
        <f t="array" ref="Y254">IFERROR(INDEX('Strategy Watchlist'!Z:Z,MATCH($A254,'Strategy Watchlist'!$A:$A,0)),"Not Found")</f>
        <v>https://www.tradingview.com/chart/9cT1VRvW/</v>
      </c>
      <c r="Z254" s="58"/>
      <c r="AA254" s="58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</row>
    <row r="255" spans="1:119" ht="14.25" customHeight="1" x14ac:dyDescent="0.2">
      <c r="A255" s="17" t="str">
        <f t="shared" si="102"/>
        <v>|DOGE|MACD|45m</v>
      </c>
      <c r="B255" s="1" t="s">
        <v>95</v>
      </c>
      <c r="C255" s="23">
        <f t="shared" si="103"/>
        <v>0.3125</v>
      </c>
      <c r="D255" s="1"/>
      <c r="E255" s="1" t="s">
        <v>33</v>
      </c>
      <c r="F255" s="1" t="s">
        <v>34</v>
      </c>
      <c r="G255" s="1" t="s">
        <v>32</v>
      </c>
      <c r="H255" s="2">
        <v>12500</v>
      </c>
      <c r="I255" s="40">
        <f t="shared" si="104"/>
        <v>2625</v>
      </c>
      <c r="J255" s="2">
        <v>4000</v>
      </c>
      <c r="K255" s="1">
        <v>200</v>
      </c>
      <c r="L255" s="19">
        <f t="array" ref="L255">IFERROR(INDEX('Strategy Watchlist'!L:L,MATCH($A255,'Strategy Watchlist'!$A:$A,0)),"Not Found")</f>
        <v>6.8331771321462043</v>
      </c>
      <c r="M255" s="19">
        <f t="array" ref="M255">IFERROR(INDEX('Strategy Watchlist'!M:M,MATCH($A255,'Strategy Watchlist'!$A:$A,0)),"Not Found")</f>
        <v>147</v>
      </c>
      <c r="N255" s="20">
        <f t="array" ref="N255">IFERROR(INDEX('Strategy Watchlist'!N:N,MATCH($A255,'Strategy Watchlist'!$A:$A,0)),"Not Found")</f>
        <v>45662</v>
      </c>
      <c r="O255" s="21"/>
      <c r="P255" s="21">
        <f t="array" ref="P255">IFERROR(INDEX('Strategy Watchlist'!Q:Q,MATCH($A255,'Strategy Watchlist'!$A:$A,0)),"Not Found")</f>
        <v>5.91</v>
      </c>
      <c r="Q255" s="21">
        <f t="array" ref="Q255">IFERROR(INDEX('Strategy Watchlist'!R:R,MATCH($A255,'Strategy Watchlist'!$A:$A,0)),"Not Found")</f>
        <v>-0.08</v>
      </c>
      <c r="R255" s="21">
        <f t="array" ref="R255">IFERROR(INDEX('Strategy Watchlist'!S:S,MATCH($A255,'Strategy Watchlist'!$A:$A,0)),"Not Found")</f>
        <v>4.72</v>
      </c>
      <c r="S255" s="21">
        <f t="array" ref="S255">IFERROR(INDEX('Strategy Watchlist'!T:T,MATCH($A255,'Strategy Watchlist'!$A:$A,0)),"Not Found")</f>
        <v>8.93</v>
      </c>
      <c r="T255" s="21">
        <f t="array" ref="T255">IFERROR(INDEX('Strategy Watchlist'!U:U,MATCH($A255,'Strategy Watchlist'!$A:$A,0)),"Not Found")</f>
        <v>2.69</v>
      </c>
      <c r="U255" s="21">
        <f t="array" ref="U255">IFERROR(INDEX('Strategy Watchlist'!V:V,MATCH($A255,'Strategy Watchlist'!$A:$A,0)),"Not Found")</f>
        <v>2.04</v>
      </c>
      <c r="V255" s="21">
        <f t="array" ref="V255">IFERROR(INDEX('Strategy Watchlist'!W:W,MATCH($A255,'Strategy Watchlist'!$A:$A,0)),"Not Found")</f>
        <v>5.31</v>
      </c>
      <c r="W255" s="21">
        <f t="array" ref="W255">IFERROR(INDEX('Strategy Watchlist'!X:X,MATCH($A255,'Strategy Watchlist'!$A:$A,0)),"Not Found")</f>
        <v>0.72</v>
      </c>
      <c r="X255" s="21">
        <f t="array" ref="X255">IFERROR(INDEX('Strategy Watchlist'!Y:Y,MATCH($A255,'Strategy Watchlist'!$A:$A,0)),"Not Found")</f>
        <v>3.27</v>
      </c>
      <c r="Y255" s="22" t="str">
        <f t="array" ref="Y255">IFERROR(INDEX('Strategy Watchlist'!Z:Z,MATCH($A255,'Strategy Watchlist'!$A:$A,0)),"Not Found")</f>
        <v>https://www.tradingview.com/chart/Dvd9vGt5/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</row>
    <row r="256" spans="1:119" ht="14.25" customHeight="1" x14ac:dyDescent="0.2">
      <c r="A256" s="17" t="str">
        <f t="shared" si="102"/>
        <v>[e92283ec]|HBAR|Heiken-Ashi|30m</v>
      </c>
      <c r="B256" s="1" t="s">
        <v>95</v>
      </c>
      <c r="C256" s="23">
        <f t="shared" si="103"/>
        <v>0.25</v>
      </c>
      <c r="D256" s="1" t="s">
        <v>35</v>
      </c>
      <c r="E256" s="1" t="s">
        <v>36</v>
      </c>
      <c r="F256" s="1" t="s">
        <v>37</v>
      </c>
      <c r="G256" s="1" t="s">
        <v>38</v>
      </c>
      <c r="H256" s="2">
        <v>10000</v>
      </c>
      <c r="I256" s="40">
        <f t="shared" si="104"/>
        <v>2100</v>
      </c>
      <c r="J256" s="2">
        <v>3000</v>
      </c>
      <c r="K256" s="1">
        <v>120</v>
      </c>
      <c r="L256" s="19">
        <f t="array" ref="L256">IFERROR(INDEX('Strategy Watchlist'!L:L,MATCH($A256,'Strategy Watchlist'!$A:$A,0)),"Not Found")</f>
        <v>6.7744000000000009</v>
      </c>
      <c r="M256" s="19">
        <f t="array" ref="M256">IFERROR(INDEX('Strategy Watchlist'!M:M,MATCH($A256,'Strategy Watchlist'!$A:$A,0)),"Not Found")</f>
        <v>224</v>
      </c>
      <c r="N256" s="20">
        <f t="array" ref="N256">IFERROR(INDEX('Strategy Watchlist'!N:N,MATCH($A256,'Strategy Watchlist'!$A:$A,0)),"Not Found")</f>
        <v>45833</v>
      </c>
      <c r="O256" s="21"/>
      <c r="P256" s="21">
        <f t="array" ref="P256">IFERROR(INDEX('Strategy Watchlist'!Q:Q,MATCH($A256,'Strategy Watchlist'!$A:$A,0)),"Not Found")</f>
        <v>-1.1499999999999999</v>
      </c>
      <c r="Q256" s="21">
        <f t="array" ref="Q256">IFERROR(INDEX('Strategy Watchlist'!R:R,MATCH($A256,'Strategy Watchlist'!$A:$A,0)),"Not Found")</f>
        <v>0.83</v>
      </c>
      <c r="R256" s="21">
        <f t="array" ref="R256">IFERROR(INDEX('Strategy Watchlist'!S:S,MATCH($A256,'Strategy Watchlist'!$A:$A,0)),"Not Found")</f>
        <v>1.52</v>
      </c>
      <c r="S256" s="21">
        <f t="array" ref="S256">IFERROR(INDEX('Strategy Watchlist'!T:T,MATCH($A256,'Strategy Watchlist'!$A:$A,0)),"Not Found")</f>
        <v>-0.03</v>
      </c>
      <c r="T256" s="21">
        <f t="array" ref="T256">IFERROR(INDEX('Strategy Watchlist'!U:U,MATCH($A256,'Strategy Watchlist'!$A:$A,0)),"Not Found")</f>
        <v>4.38</v>
      </c>
      <c r="U256" s="21">
        <f t="array" ref="U256">IFERROR(INDEX('Strategy Watchlist'!V:V,MATCH($A256,'Strategy Watchlist'!$A:$A,0)),"Not Found")</f>
        <v>1.95</v>
      </c>
      <c r="V256" s="21">
        <f t="array" ref="V256">IFERROR(INDEX('Strategy Watchlist'!W:W,MATCH($A256,'Strategy Watchlist'!$A:$A,0)),"Not Found")</f>
        <v>1.98</v>
      </c>
      <c r="W256" s="21">
        <f t="array" ref="W256">IFERROR(INDEX('Strategy Watchlist'!X:X,MATCH($A256,'Strategy Watchlist'!$A:$A,0)),"Not Found")</f>
        <v>4.59</v>
      </c>
      <c r="X256" s="21">
        <f t="array" ref="X256">IFERROR(INDEX('Strategy Watchlist'!Y:Y,MATCH($A256,'Strategy Watchlist'!$A:$A,0)),"Not Found")</f>
        <v>-1.3</v>
      </c>
      <c r="Y256" s="22" t="str">
        <f t="array" ref="Y256">IFERROR(INDEX('Strategy Watchlist'!Z:Z,MATCH($A256,'Strategy Watchlist'!$A:$A,0)),"Not Found")</f>
        <v>https://www.tradingview.com/chart/ygHXwF84/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</row>
    <row r="257" spans="1:119" ht="14.25" customHeight="1" x14ac:dyDescent="0.2">
      <c r="A257" s="17" t="str">
        <f t="shared" si="102"/>
        <v>[f80d2657]|PePe|JP Trend|30m</v>
      </c>
      <c r="B257" s="1" t="s">
        <v>95</v>
      </c>
      <c r="C257" s="23">
        <f t="shared" si="103"/>
        <v>0.2</v>
      </c>
      <c r="D257" s="1" t="s">
        <v>39</v>
      </c>
      <c r="E257" s="1" t="s">
        <v>40</v>
      </c>
      <c r="F257" s="1" t="s">
        <v>41</v>
      </c>
      <c r="G257" s="1" t="s">
        <v>38</v>
      </c>
      <c r="H257" s="2">
        <v>8000</v>
      </c>
      <c r="I257" s="40">
        <f t="shared" si="104"/>
        <v>1680</v>
      </c>
      <c r="J257" s="2">
        <v>3100</v>
      </c>
      <c r="K257" s="1">
        <v>120</v>
      </c>
      <c r="L257" s="19">
        <f t="array" ref="L257">IFERROR(INDEX('Strategy Watchlist'!L:L,MATCH($A257,'Strategy Watchlist'!$A:$A,0)),"Not Found")</f>
        <v>11.341645885286782</v>
      </c>
      <c r="M257" s="19">
        <f t="array" ref="M257">IFERROR(INDEX('Strategy Watchlist'!M:M,MATCH($A257,'Strategy Watchlist'!$A:$A,0)),"Not Found")</f>
        <v>302</v>
      </c>
      <c r="N257" s="20">
        <f t="array" ref="N257">IFERROR(INDEX('Strategy Watchlist'!N:N,MATCH($A257,'Strategy Watchlist'!$A:$A,0)),"Not Found")</f>
        <v>45662</v>
      </c>
      <c r="O257" s="21"/>
      <c r="P257" s="21">
        <f t="array" ref="P257">IFERROR(INDEX('Strategy Watchlist'!Q:Q,MATCH($A257,'Strategy Watchlist'!$A:$A,0)),"Not Found")</f>
        <v>1.52</v>
      </c>
      <c r="Q257" s="21">
        <f t="array" ref="Q257">IFERROR(INDEX('Strategy Watchlist'!R:R,MATCH($A257,'Strategy Watchlist'!$A:$A,0)),"Not Found")</f>
        <v>-3.15</v>
      </c>
      <c r="R257" s="21">
        <f t="array" ref="R257">IFERROR(INDEX('Strategy Watchlist'!S:S,MATCH($A257,'Strategy Watchlist'!$A:$A,0)),"Not Found")</f>
        <v>2.2999999999999998</v>
      </c>
      <c r="S257" s="21">
        <f t="array" ref="S257">IFERROR(INDEX('Strategy Watchlist'!T:T,MATCH($A257,'Strategy Watchlist'!$A:$A,0)),"Not Found")</f>
        <v>-0.12</v>
      </c>
      <c r="T257" s="21">
        <f t="array" ref="T257">IFERROR(INDEX('Strategy Watchlist'!U:U,MATCH($A257,'Strategy Watchlist'!$A:$A,0)),"Not Found")</f>
        <v>5.69</v>
      </c>
      <c r="U257" s="21">
        <f t="array" ref="U257">IFERROR(INDEX('Strategy Watchlist'!V:V,MATCH($A257,'Strategy Watchlist'!$A:$A,0)),"Not Found")</f>
        <v>-1.33</v>
      </c>
      <c r="V257" s="21">
        <f t="array" ref="V257">IFERROR(INDEX('Strategy Watchlist'!W:W,MATCH($A257,'Strategy Watchlist'!$A:$A,0)),"Not Found")</f>
        <v>2.12</v>
      </c>
      <c r="W257" s="21">
        <f t="array" ref="W257">IFERROR(INDEX('Strategy Watchlist'!X:X,MATCH($A257,'Strategy Watchlist'!$A:$A,0)),"Not Found")</f>
        <v>3.07</v>
      </c>
      <c r="X257" s="21">
        <f t="array" ref="X257">IFERROR(INDEX('Strategy Watchlist'!Y:Y,MATCH($A257,'Strategy Watchlist'!$A:$A,0)),"Not Found")</f>
        <v>3.75</v>
      </c>
      <c r="Y257" s="22" t="str">
        <f t="array" ref="Y257">IFERROR(INDEX('Strategy Watchlist'!Z:Z,MATCH($A257,'Strategy Watchlist'!$A:$A,0)),"Not Found")</f>
        <v>https://www.tradingview.com/chart/uNPZ2spK/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</row>
    <row r="258" spans="1:119" ht="14.25" customHeight="1" x14ac:dyDescent="0.2">
      <c r="A258" s="17" t="str">
        <f t="shared" si="102"/>
        <v>|PePe|T3 Nexus|30m</v>
      </c>
      <c r="B258" s="1" t="s">
        <v>95</v>
      </c>
      <c r="C258" s="23">
        <f t="shared" si="103"/>
        <v>0.15</v>
      </c>
      <c r="D258" s="1"/>
      <c r="E258" s="1" t="s">
        <v>40</v>
      </c>
      <c r="F258" s="1" t="s">
        <v>82</v>
      </c>
      <c r="G258" s="1" t="s">
        <v>38</v>
      </c>
      <c r="H258" s="2">
        <v>6000</v>
      </c>
      <c r="I258" s="40">
        <f t="shared" si="104"/>
        <v>1260</v>
      </c>
      <c r="J258" s="2">
        <v>2200</v>
      </c>
      <c r="K258" s="1">
        <v>100</v>
      </c>
      <c r="L258" s="19">
        <f t="array" ref="L258">IFERROR(INDEX('Strategy Watchlist'!L:L,MATCH($A258,'Strategy Watchlist'!$A:$A,0)),"Not Found")</f>
        <v>0.82275229357798174</v>
      </c>
      <c r="M258" s="19">
        <f t="array" ref="M258">IFERROR(INDEX('Strategy Watchlist'!M:M,MATCH($A258,'Strategy Watchlist'!$A:$A,0)),"Not Found")</f>
        <v>748</v>
      </c>
      <c r="N258" s="20">
        <f t="array" ref="N258">IFERROR(INDEX('Strategy Watchlist'!N:N,MATCH($A258,'Strategy Watchlist'!$A:$A,0)),"Not Found")</f>
        <v>45662</v>
      </c>
      <c r="O258" s="21"/>
      <c r="P258" s="21">
        <f t="array" ref="P258">IFERROR(INDEX('Strategy Watchlist'!Q:Q,MATCH($A258,'Strategy Watchlist'!$A:$A,0)),"Not Found")</f>
        <v>-0.19</v>
      </c>
      <c r="Q258" s="21">
        <f t="array" ref="Q258">IFERROR(INDEX('Strategy Watchlist'!R:R,MATCH($A258,'Strategy Watchlist'!$A:$A,0)),"Not Found")</f>
        <v>6.1</v>
      </c>
      <c r="R258" s="21">
        <f t="array" ref="R258">IFERROR(INDEX('Strategy Watchlist'!S:S,MATCH($A258,'Strategy Watchlist'!$A:$A,0)),"Not Found")</f>
        <v>3.29</v>
      </c>
      <c r="S258" s="21">
        <f t="array" ref="S258">IFERROR(INDEX('Strategy Watchlist'!T:T,MATCH($A258,'Strategy Watchlist'!$A:$A,0)),"Not Found")</f>
        <v>1.47</v>
      </c>
      <c r="T258" s="21">
        <f t="array" ref="T258">IFERROR(INDEX('Strategy Watchlist'!U:U,MATCH($A258,'Strategy Watchlist'!$A:$A,0)),"Not Found")</f>
        <v>6.2</v>
      </c>
      <c r="U258" s="21">
        <f t="array" ref="U258">IFERROR(INDEX('Strategy Watchlist'!V:V,MATCH($A258,'Strategy Watchlist'!$A:$A,0)),"Not Found")</f>
        <v>-4.5</v>
      </c>
      <c r="V258" s="21">
        <f t="array" ref="V258">IFERROR(INDEX('Strategy Watchlist'!W:W,MATCH($A258,'Strategy Watchlist'!$A:$A,0)),"Not Found")</f>
        <v>4.74</v>
      </c>
      <c r="W258" s="21">
        <f t="array" ref="W258">IFERROR(INDEX('Strategy Watchlist'!X:X,MATCH($A258,'Strategy Watchlist'!$A:$A,0)),"Not Found")</f>
        <v>1.1599999999999999</v>
      </c>
      <c r="X258" s="21">
        <f t="array" ref="X258">IFERROR(INDEX('Strategy Watchlist'!Y:Y,MATCH($A258,'Strategy Watchlist'!$A:$A,0)),"Not Found")</f>
        <v>7.62</v>
      </c>
      <c r="Y258" s="22" t="str">
        <f t="array" ref="Y258">IFERROR(INDEX('Strategy Watchlist'!Z:Z,MATCH($A258,'Strategy Watchlist'!$A:$A,0)),"Not Found")</f>
        <v>https://www.tradingview.com/chart/Kj5ZGHdw/</v>
      </c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</row>
    <row r="259" spans="1:119" x14ac:dyDescent="0.2">
      <c r="A259" s="17" t="str">
        <f t="shared" si="102"/>
        <v>|SOL|precisionTrend|45m</v>
      </c>
      <c r="B259" s="1"/>
      <c r="C259" s="23">
        <f t="shared" si="103"/>
        <v>0.15</v>
      </c>
      <c r="D259" s="58"/>
      <c r="E259" s="1" t="s">
        <v>43</v>
      </c>
      <c r="F259" s="1" t="s">
        <v>54</v>
      </c>
      <c r="G259" s="1" t="s">
        <v>32</v>
      </c>
      <c r="H259" s="1">
        <v>6000</v>
      </c>
      <c r="I259" s="40">
        <f t="shared" si="104"/>
        <v>1260</v>
      </c>
      <c r="J259" s="2">
        <v>1800</v>
      </c>
      <c r="K259" s="1">
        <v>90</v>
      </c>
      <c r="L259" s="19">
        <f t="array" ref="L259">IFERROR(INDEX('Strategy Watchlist'!L:L,MATCH($A259,'Strategy Watchlist'!$A:$A,0)),"Not Found")</f>
        <v>5.4191980558930739</v>
      </c>
      <c r="M259" s="19">
        <f t="array" ref="M259">IFERROR(INDEX('Strategy Watchlist'!M:M,MATCH($A259,'Strategy Watchlist'!$A:$A,0)),"Not Found")</f>
        <v>145</v>
      </c>
      <c r="N259" s="20">
        <f t="array" ref="N259">IFERROR(INDEX('Strategy Watchlist'!N:N,MATCH($A259,'Strategy Watchlist'!$A:$A,0)),"Not Found")</f>
        <v>45863</v>
      </c>
      <c r="O259" s="21"/>
      <c r="P259" s="21">
        <f t="array" ref="P259">IFERROR(INDEX('Strategy Watchlist'!Q:Q,MATCH($A259,'Strategy Watchlist'!$A:$A,0)),"Not Found")</f>
        <v>-0.15</v>
      </c>
      <c r="Q259" s="21">
        <f t="array" ref="Q259">IFERROR(INDEX('Strategy Watchlist'!R:R,MATCH($A259,'Strategy Watchlist'!$A:$A,0)),"Not Found")</f>
        <v>-3.28</v>
      </c>
      <c r="R259" s="21">
        <f t="array" ref="R259">IFERROR(INDEX('Strategy Watchlist'!S:S,MATCH($A259,'Strategy Watchlist'!$A:$A,0)),"Not Found")</f>
        <v>8.1300000000000008</v>
      </c>
      <c r="S259" s="21">
        <f t="array" ref="S259">IFERROR(INDEX('Strategy Watchlist'!T:T,MATCH($A259,'Strategy Watchlist'!$A:$A,0)),"Not Found")</f>
        <v>4.33</v>
      </c>
      <c r="T259" s="21">
        <f t="array" ref="T259">IFERROR(INDEX('Strategy Watchlist'!U:U,MATCH($A259,'Strategy Watchlist'!$A:$A,0)),"Not Found")</f>
        <v>3.41</v>
      </c>
      <c r="U259" s="21">
        <f t="array" ref="U259">IFERROR(INDEX('Strategy Watchlist'!V:V,MATCH($A259,'Strategy Watchlist'!$A:$A,0)),"Not Found")</f>
        <v>-2.52</v>
      </c>
      <c r="V259" s="21">
        <f t="array" ref="V259">IFERROR(INDEX('Strategy Watchlist'!W:W,MATCH($A259,'Strategy Watchlist'!$A:$A,0)),"Not Found")</f>
        <v>2.5499999999999998</v>
      </c>
      <c r="W259" s="21">
        <f t="array" ref="W259">IFERROR(INDEX('Strategy Watchlist'!X:X,MATCH($A259,'Strategy Watchlist'!$A:$A,0)),"Not Found")</f>
        <v>2.1800000000000002</v>
      </c>
      <c r="X259" s="21">
        <f t="array" ref="X259">IFERROR(INDEX('Strategy Watchlist'!Y:Y,MATCH($A259,'Strategy Watchlist'!$A:$A,0)),"Not Found")</f>
        <v>7.37</v>
      </c>
      <c r="Y259" s="22" t="str">
        <f t="array" ref="Y259">IFERROR(INDEX('Strategy Watchlist'!Z:Z,MATCH($A259,'Strategy Watchlist'!$A:$A,0)),"Not Found")</f>
        <v>https://www.tradingview.com/chart/xxzEyDfw/</v>
      </c>
      <c r="Z259" s="58"/>
      <c r="AA259" s="58"/>
      <c r="AB259" s="58"/>
      <c r="AC259" s="58"/>
      <c r="AD259" s="58"/>
      <c r="AE259" s="58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</row>
    <row r="260" spans="1:119" x14ac:dyDescent="0.2">
      <c r="A260" s="17" t="str">
        <f t="shared" si="102"/>
        <v>[0c4624b7]|SOL|volVangard|30m</v>
      </c>
      <c r="B260" s="1" t="s">
        <v>95</v>
      </c>
      <c r="C260" s="23">
        <f t="shared" si="103"/>
        <v>0.2</v>
      </c>
      <c r="D260" s="58" t="s">
        <v>42</v>
      </c>
      <c r="E260" s="1" t="s">
        <v>43</v>
      </c>
      <c r="F260" s="1" t="s">
        <v>44</v>
      </c>
      <c r="G260" s="1" t="s">
        <v>38</v>
      </c>
      <c r="H260" s="1">
        <v>8000</v>
      </c>
      <c r="I260" s="40">
        <f t="shared" si="104"/>
        <v>1680</v>
      </c>
      <c r="J260" s="2">
        <v>2000</v>
      </c>
      <c r="K260" s="1">
        <v>110</v>
      </c>
      <c r="L260" s="19">
        <f t="array" ref="L260">IFERROR(INDEX('Strategy Watchlist'!L:L,MATCH($A260,'Strategy Watchlist'!$A:$A,0)),"Not Found")</f>
        <v>9.533219761499149</v>
      </c>
      <c r="M260" s="19">
        <f t="array" ref="M260">IFERROR(INDEX('Strategy Watchlist'!M:M,MATCH($A260,'Strategy Watchlist'!$A:$A,0)),"Not Found")</f>
        <v>118</v>
      </c>
      <c r="N260" s="20">
        <f t="array" ref="N260">IFERROR(INDEX('Strategy Watchlist'!N:N,MATCH($A260,'Strategy Watchlist'!$A:$A,0)),"Not Found")</f>
        <v>45772</v>
      </c>
      <c r="O260" s="21"/>
      <c r="P260" s="21">
        <f t="array" ref="P260">IFERROR(INDEX('Strategy Watchlist'!Q:Q,MATCH($A260,'Strategy Watchlist'!$A:$A,0)),"Not Found")</f>
        <v>4.09</v>
      </c>
      <c r="Q260" s="21">
        <f t="array" ref="Q260">IFERROR(INDEX('Strategy Watchlist'!R:R,MATCH($A260,'Strategy Watchlist'!$A:$A,0)),"Not Found")</f>
        <v>0.37</v>
      </c>
      <c r="R260" s="21">
        <f t="array" ref="R260">IFERROR(INDEX('Strategy Watchlist'!S:S,MATCH($A260,'Strategy Watchlist'!$A:$A,0)),"Not Found")</f>
        <v>-3.58</v>
      </c>
      <c r="S260" s="21">
        <f t="array" ref="S260">IFERROR(INDEX('Strategy Watchlist'!T:T,MATCH($A260,'Strategy Watchlist'!$A:$A,0)),"Not Found")</f>
        <v>6.51</v>
      </c>
      <c r="T260" s="21">
        <f t="array" ref="T260">IFERROR(INDEX('Strategy Watchlist'!U:U,MATCH($A260,'Strategy Watchlist'!$A:$A,0)),"Not Found")</f>
        <v>-0.43</v>
      </c>
      <c r="U260" s="21">
        <f t="array" ref="U260">IFERROR(INDEX('Strategy Watchlist'!V:V,MATCH($A260,'Strategy Watchlist'!$A:$A,0)),"Not Found")</f>
        <v>5.78</v>
      </c>
      <c r="V260" s="21">
        <f t="array" ref="V260">IFERROR(INDEX('Strategy Watchlist'!W:W,MATCH($A260,'Strategy Watchlist'!$A:$A,0)),"Not Found")</f>
        <v>-0.64</v>
      </c>
      <c r="W260" s="21">
        <f t="array" ref="W260">IFERROR(INDEX('Strategy Watchlist'!X:X,MATCH($A260,'Strategy Watchlist'!$A:$A,0)),"Not Found")</f>
        <v>1.32</v>
      </c>
      <c r="X260" s="21">
        <f t="array" ref="X260">IFERROR(INDEX('Strategy Watchlist'!Y:Y,MATCH($A260,'Strategy Watchlist'!$A:$A,0)),"Not Found")</f>
        <v>0.33</v>
      </c>
      <c r="Y260" s="22" t="str">
        <f t="array" ref="Y260">IFERROR(INDEX('Strategy Watchlist'!Z:Z,MATCH($A260,'Strategy Watchlist'!$A:$A,0)),"Not Found")</f>
        <v>https://www.tradingview.com/chart/tJDJVri5/</v>
      </c>
      <c r="Z260" s="58"/>
      <c r="AA260" s="58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</row>
    <row r="261" spans="1:119" ht="14.25" customHeight="1" x14ac:dyDescent="0.2">
      <c r="A261" s="17" t="str">
        <f t="shared" si="102"/>
        <v>[1e052093]|SOL|FlashProfit|59m</v>
      </c>
      <c r="B261" s="1" t="s">
        <v>95</v>
      </c>
      <c r="C261" s="23">
        <f t="shared" si="103"/>
        <v>0.25</v>
      </c>
      <c r="D261" s="58" t="s">
        <v>83</v>
      </c>
      <c r="E261" s="1" t="s">
        <v>43</v>
      </c>
      <c r="F261" s="1" t="s">
        <v>84</v>
      </c>
      <c r="G261" s="1" t="s">
        <v>85</v>
      </c>
      <c r="H261" s="1">
        <v>10000</v>
      </c>
      <c r="I261" s="40">
        <f t="shared" si="104"/>
        <v>2100</v>
      </c>
      <c r="J261" s="2">
        <v>6000</v>
      </c>
      <c r="K261" s="1">
        <v>120</v>
      </c>
      <c r="L261" s="19">
        <f t="array" ref="L261">IFERROR(INDEX('Strategy Watchlist'!L:L,MATCH($A261,'Strategy Watchlist'!$A:$A,0)),"Not Found")</f>
        <v>4.1988505747126439</v>
      </c>
      <c r="M261" s="19">
        <f t="array" ref="M261">IFERROR(INDEX('Strategy Watchlist'!M:M,MATCH($A261,'Strategy Watchlist'!$A:$A,0)),"Not Found")</f>
        <v>567</v>
      </c>
      <c r="N261" s="20">
        <f t="array" ref="N261">IFERROR(INDEX('Strategy Watchlist'!N:N,MATCH($A261,'Strategy Watchlist'!$A:$A,0)),"Not Found")</f>
        <v>45925</v>
      </c>
      <c r="O261" s="21"/>
      <c r="P261" s="21">
        <f t="array" ref="P261">IFERROR(INDEX('Strategy Watchlist'!Q:Q,MATCH($A261,'Strategy Watchlist'!$A:$A,0)),"Not Found")</f>
        <v>6.44</v>
      </c>
      <c r="Q261" s="21">
        <f t="array" ref="Q261">IFERROR(INDEX('Strategy Watchlist'!R:R,MATCH($A261,'Strategy Watchlist'!$A:$A,0)),"Not Found")</f>
        <v>4.43</v>
      </c>
      <c r="R261" s="21">
        <f t="array" ref="R261">IFERROR(INDEX('Strategy Watchlist'!S:S,MATCH($A261,'Strategy Watchlist'!$A:$A,0)),"Not Found")</f>
        <v>-0.32</v>
      </c>
      <c r="S261" s="21">
        <f t="array" ref="S261">IFERROR(INDEX('Strategy Watchlist'!T:T,MATCH($A261,'Strategy Watchlist'!$A:$A,0)),"Not Found")</f>
        <v>0.78</v>
      </c>
      <c r="T261" s="21">
        <f t="array" ref="T261">IFERROR(INDEX('Strategy Watchlist'!U:U,MATCH($A261,'Strategy Watchlist'!$A:$A,0)),"Not Found")</f>
        <v>2.0299999999999998</v>
      </c>
      <c r="U261" s="21">
        <f t="array" ref="U261">IFERROR(INDEX('Strategy Watchlist'!V:V,MATCH($A261,'Strategy Watchlist'!$A:$A,0)),"Not Found")</f>
        <v>0.72</v>
      </c>
      <c r="V261" s="21">
        <f t="array" ref="V261">IFERROR(INDEX('Strategy Watchlist'!W:W,MATCH($A261,'Strategy Watchlist'!$A:$A,0)),"Not Found")</f>
        <v>2.39</v>
      </c>
      <c r="W261" s="21">
        <f t="array" ref="W261">IFERROR(INDEX('Strategy Watchlist'!X:X,MATCH($A261,'Strategy Watchlist'!$A:$A,0)),"Not Found")</f>
        <v>1.96</v>
      </c>
      <c r="X261" s="21">
        <f t="array" ref="X261">IFERROR(INDEX('Strategy Watchlist'!Y:Y,MATCH($A261,'Strategy Watchlist'!$A:$A,0)),"Not Found")</f>
        <v>0.45</v>
      </c>
      <c r="Y261" s="22" t="str">
        <f t="array" ref="Y261">IFERROR(INDEX('Strategy Watchlist'!Z:Z,MATCH($A261,'Strategy Watchlist'!$A:$A,0)),"Not Found")</f>
        <v>https://www.tradingview.com/chart/mnGjsgoY/</v>
      </c>
      <c r="Z261" s="58"/>
      <c r="AA261" s="58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</row>
    <row r="262" spans="1:119" ht="14.25" customHeight="1" x14ac:dyDescent="0.2">
      <c r="A262" s="17" t="str">
        <f t="shared" si="102"/>
        <v>13.05.2025|SOL|precisionTrend|30m</v>
      </c>
      <c r="B262" s="1"/>
      <c r="C262" s="23">
        <f t="shared" si="103"/>
        <v>7.4999999999999997E-2</v>
      </c>
      <c r="D262" s="58" t="s">
        <v>144</v>
      </c>
      <c r="E262" s="1" t="s">
        <v>43</v>
      </c>
      <c r="F262" s="1" t="s">
        <v>54</v>
      </c>
      <c r="G262" s="1" t="s">
        <v>38</v>
      </c>
      <c r="H262" s="1">
        <v>3000</v>
      </c>
      <c r="I262" s="40">
        <f t="shared" si="104"/>
        <v>630</v>
      </c>
      <c r="J262" s="2">
        <v>1200</v>
      </c>
      <c r="K262" s="1">
        <v>80</v>
      </c>
      <c r="L262" s="19">
        <f t="array" ref="L262">IFERROR(INDEX('Strategy Watchlist'!L:L,MATCH($A262,'Strategy Watchlist'!$A:$A,0)),"Not Found")</f>
        <v>36.09756097560976</v>
      </c>
      <c r="M262" s="19">
        <f t="array" ref="M262">IFERROR(INDEX('Strategy Watchlist'!M:M,MATCH($A262,'Strategy Watchlist'!$A:$A,0)),"Not Found")</f>
        <v>136</v>
      </c>
      <c r="N262" s="20">
        <f t="array" ref="N262">IFERROR(INDEX('Strategy Watchlist'!N:N,MATCH($A262,'Strategy Watchlist'!$A:$A,0)),"Not Found")</f>
        <v>45894</v>
      </c>
      <c r="O262" s="21"/>
      <c r="P262" s="21">
        <f t="array" ref="P262">IFERROR(INDEX('Strategy Watchlist'!Q:Q,MATCH($A262,'Strategy Watchlist'!$A:$A,0)),"Not Found")</f>
        <v>4.16</v>
      </c>
      <c r="Q262" s="21">
        <f t="array" ref="Q262">IFERROR(INDEX('Strategy Watchlist'!R:R,MATCH($A262,'Strategy Watchlist'!$A:$A,0)),"Not Found")</f>
        <v>0.78</v>
      </c>
      <c r="R262" s="21">
        <f t="array" ref="R262">IFERROR(INDEX('Strategy Watchlist'!S:S,MATCH($A262,'Strategy Watchlist'!$A:$A,0)),"Not Found")</f>
        <v>3.9</v>
      </c>
      <c r="S262" s="21">
        <f t="array" ref="S262">IFERROR(INDEX('Strategy Watchlist'!T:T,MATCH($A262,'Strategy Watchlist'!$A:$A,0)),"Not Found")</f>
        <v>-0.22</v>
      </c>
      <c r="T262" s="21">
        <f t="array" ref="T262">IFERROR(INDEX('Strategy Watchlist'!U:U,MATCH($A262,'Strategy Watchlist'!$A:$A,0)),"Not Found")</f>
        <v>3.65</v>
      </c>
      <c r="U262" s="21">
        <f t="array" ref="U262">IFERROR(INDEX('Strategy Watchlist'!V:V,MATCH($A262,'Strategy Watchlist'!$A:$A,0)),"Not Found")</f>
        <v>2.96</v>
      </c>
      <c r="V262" s="21">
        <f t="array" ref="V262">IFERROR(INDEX('Strategy Watchlist'!W:W,MATCH($A262,'Strategy Watchlist'!$A:$A,0)),"Not Found")</f>
        <v>2.17</v>
      </c>
      <c r="W262" s="21">
        <f t="array" ref="W262">IFERROR(INDEX('Strategy Watchlist'!X:X,MATCH($A262,'Strategy Watchlist'!$A:$A,0)),"Not Found")</f>
        <v>2.21</v>
      </c>
      <c r="X262" s="21">
        <f t="array" ref="X262">IFERROR(INDEX('Strategy Watchlist'!Y:Y,MATCH($A262,'Strategy Watchlist'!$A:$A,0)),"Not Found")</f>
        <v>0.67</v>
      </c>
      <c r="Y262" s="22" t="str">
        <f t="array" ref="Y262">IFERROR(INDEX('Strategy Watchlist'!Z:Z,MATCH($A262,'Strategy Watchlist'!$A:$A,0)),"Not Found")</f>
        <v>https://www.tradingview.com/chart/9HGhrAiL/</v>
      </c>
      <c r="Z262" s="58"/>
      <c r="AA262" s="58"/>
      <c r="AB262" s="58"/>
      <c r="AC262" s="58"/>
      <c r="AD262" s="58"/>
      <c r="AE262" s="58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">
        <v>62</v>
      </c>
      <c r="AV262" s="1" t="s">
        <v>95</v>
      </c>
      <c r="AW262" s="1" t="s">
        <v>43</v>
      </c>
      <c r="AX262" s="1" t="s">
        <v>54</v>
      </c>
      <c r="AY262" s="18">
        <v>36.09756097560976</v>
      </c>
      <c r="AZ262" s="4">
        <v>136</v>
      </c>
      <c r="BA262" s="1" t="s">
        <v>38</v>
      </c>
      <c r="BB262" s="76">
        <v>45894</v>
      </c>
      <c r="BC262" s="77">
        <v>4.1500000000000004</v>
      </c>
      <c r="BD262" s="77">
        <v>0.78</v>
      </c>
      <c r="BE262" s="77">
        <v>3.9</v>
      </c>
      <c r="BF262" s="77">
        <v>-0.22</v>
      </c>
      <c r="BG262" s="77">
        <v>3.65</v>
      </c>
      <c r="BH262" s="77">
        <v>2.96</v>
      </c>
      <c r="BI262" s="77">
        <v>2.17</v>
      </c>
      <c r="BJ262" s="77">
        <v>2.21</v>
      </c>
      <c r="BK262" s="77">
        <v>0.67</v>
      </c>
      <c r="BL262" s="1" t="s">
        <v>144</v>
      </c>
      <c r="BM262" s="1" t="s">
        <v>145</v>
      </c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</row>
    <row r="263" spans="1:119" ht="14.25" customHeight="1" x14ac:dyDescent="0.2">
      <c r="A263" s="17" t="str">
        <f t="shared" si="102"/>
        <v>[0436a8e8]|SOL|Trendhoo|90m</v>
      </c>
      <c r="B263" s="1"/>
      <c r="C263" s="23">
        <f t="shared" si="103"/>
        <v>0.25</v>
      </c>
      <c r="D263" s="58" t="s">
        <v>66</v>
      </c>
      <c r="E263" s="1" t="s">
        <v>43</v>
      </c>
      <c r="F263" s="1" t="s">
        <v>67</v>
      </c>
      <c r="G263" s="1" t="s">
        <v>48</v>
      </c>
      <c r="H263" s="1">
        <v>10000</v>
      </c>
      <c r="I263" s="40">
        <f t="shared" si="104"/>
        <v>2100</v>
      </c>
      <c r="J263" s="2">
        <v>4000</v>
      </c>
      <c r="K263" s="1">
        <v>150</v>
      </c>
      <c r="L263" s="19">
        <f t="array" ref="L263">IFERROR(INDEX('Strategy Watchlist'!L:L,MATCH($A263,'Strategy Watchlist'!$A:$A,0)),"Not Found")</f>
        <v>5.0460048426150124</v>
      </c>
      <c r="M263" s="19">
        <f t="array" ref="M263">IFERROR(INDEX('Strategy Watchlist'!M:M,MATCH($A263,'Strategy Watchlist'!$A:$A,0)),"Not Found")</f>
        <v>327</v>
      </c>
      <c r="N263" s="20">
        <f t="array" ref="N263">IFERROR(INDEX('Strategy Watchlist'!N:N,MATCH($A263,'Strategy Watchlist'!$A:$A,0)),"Not Found")</f>
        <v>45863</v>
      </c>
      <c r="O263" s="21"/>
      <c r="P263" s="21">
        <f t="array" ref="P263">IFERROR(INDEX('Strategy Watchlist'!Q:Q,MATCH($A263,'Strategy Watchlist'!$A:$A,0)),"Not Found")</f>
        <v>2.2999999999999998</v>
      </c>
      <c r="Q263" s="21">
        <f t="array" ref="Q263">IFERROR(INDEX('Strategy Watchlist'!R:R,MATCH($A263,'Strategy Watchlist'!$A:$A,0)),"Not Found")</f>
        <v>0.88</v>
      </c>
      <c r="R263" s="21">
        <f t="array" ref="R263">IFERROR(INDEX('Strategy Watchlist'!S:S,MATCH($A263,'Strategy Watchlist'!$A:$A,0)),"Not Found")</f>
        <v>0.88</v>
      </c>
      <c r="S263" s="21">
        <f t="array" ref="S263">IFERROR(INDEX('Strategy Watchlist'!T:T,MATCH($A263,'Strategy Watchlist'!$A:$A,0)),"Not Found")</f>
        <v>-0.19</v>
      </c>
      <c r="T263" s="21">
        <f t="array" ref="T263">IFERROR(INDEX('Strategy Watchlist'!U:U,MATCH($A263,'Strategy Watchlist'!$A:$A,0)),"Not Found")</f>
        <v>-0.1</v>
      </c>
      <c r="U263" s="21">
        <f t="array" ref="U263">IFERROR(INDEX('Strategy Watchlist'!V:V,MATCH($A263,'Strategy Watchlist'!$A:$A,0)),"Not Found")</f>
        <v>-0.52</v>
      </c>
      <c r="V263" s="21">
        <f t="array" ref="V263">IFERROR(INDEX('Strategy Watchlist'!W:W,MATCH($A263,'Strategy Watchlist'!$A:$A,0)),"Not Found")</f>
        <v>1.1100000000000001</v>
      </c>
      <c r="W263" s="21">
        <f t="array" ref="W263">IFERROR(INDEX('Strategy Watchlist'!X:X,MATCH($A263,'Strategy Watchlist'!$A:$A,0)),"Not Found")</f>
        <v>2.02</v>
      </c>
      <c r="X263" s="21">
        <f t="array" ref="X263">IFERROR(INDEX('Strategy Watchlist'!Y:Y,MATCH($A263,'Strategy Watchlist'!$A:$A,0)),"Not Found")</f>
        <v>2.73</v>
      </c>
      <c r="Y263" s="22" t="str">
        <f t="array" ref="Y263">IFERROR(INDEX('Strategy Watchlist'!Z:Z,MATCH($A263,'Strategy Watchlist'!$A:$A,0)),"Not Found")</f>
        <v>https://www.tradingview.com/chart/lcNgD4pS/</v>
      </c>
      <c r="Z263" s="58"/>
      <c r="AA263" s="58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</row>
    <row r="264" spans="1:119" ht="14.25" customHeight="1" x14ac:dyDescent="0.2">
      <c r="A264" s="17" t="str">
        <f t="shared" si="102"/>
        <v>|APE|precisionTrend|30m</v>
      </c>
      <c r="B264" s="1" t="s">
        <v>95</v>
      </c>
      <c r="C264" s="23">
        <f t="shared" si="103"/>
        <v>0.375</v>
      </c>
      <c r="D264" s="1"/>
      <c r="E264" s="1" t="s">
        <v>53</v>
      </c>
      <c r="F264" s="1" t="s">
        <v>54</v>
      </c>
      <c r="G264" s="1" t="s">
        <v>38</v>
      </c>
      <c r="H264" s="2">
        <v>15000</v>
      </c>
      <c r="I264" s="40">
        <f t="shared" si="104"/>
        <v>3150</v>
      </c>
      <c r="J264" s="2">
        <v>2500</v>
      </c>
      <c r="K264" s="1">
        <v>120</v>
      </c>
      <c r="L264" s="19">
        <f t="array" ref="L264">IFERROR(INDEX('Strategy Watchlist'!L:L,MATCH($A264,'Strategy Watchlist'!$A:$A,0)),"Not Found")</f>
        <v>4.1660424469413231</v>
      </c>
      <c r="M264" s="19">
        <f t="array" ref="M264">IFERROR(INDEX('Strategy Watchlist'!M:M,MATCH($A264,'Strategy Watchlist'!$A:$A,0)),"Not Found")</f>
        <v>278</v>
      </c>
      <c r="N264" s="20">
        <f t="array" ref="N264">IFERROR(INDEX('Strategy Watchlist'!N:N,MATCH($A264,'Strategy Watchlist'!$A:$A,0)),"Not Found")</f>
        <v>45778</v>
      </c>
      <c r="O264" s="21"/>
      <c r="P264" s="21">
        <f t="array" ref="P264">IFERROR(INDEX('Strategy Watchlist'!Q:Q,MATCH($A264,'Strategy Watchlist'!$A:$A,0)),"Not Found")</f>
        <v>3</v>
      </c>
      <c r="Q264" s="21">
        <f t="array" ref="Q264">IFERROR(INDEX('Strategy Watchlist'!R:R,MATCH($A264,'Strategy Watchlist'!$A:$A,0)),"Not Found")</f>
        <v>1.66</v>
      </c>
      <c r="R264" s="21">
        <f t="array" ref="R264">IFERROR(INDEX('Strategy Watchlist'!S:S,MATCH($A264,'Strategy Watchlist'!$A:$A,0)),"Not Found")</f>
        <v>-2.79</v>
      </c>
      <c r="S264" s="21">
        <f t="array" ref="S264">IFERROR(INDEX('Strategy Watchlist'!T:T,MATCH($A264,'Strategy Watchlist'!$A:$A,0)),"Not Found")</f>
        <v>0.63</v>
      </c>
      <c r="T264" s="21">
        <f t="array" ref="T264">IFERROR(INDEX('Strategy Watchlist'!U:U,MATCH($A264,'Strategy Watchlist'!$A:$A,0)),"Not Found")</f>
        <v>6.17</v>
      </c>
      <c r="U264" s="21">
        <f t="array" ref="U264">IFERROR(INDEX('Strategy Watchlist'!V:V,MATCH($A264,'Strategy Watchlist'!$A:$A,0)),"Not Found")</f>
        <v>3.56</v>
      </c>
      <c r="V264" s="21">
        <f t="array" ref="V264">IFERROR(INDEX('Strategy Watchlist'!W:W,MATCH($A264,'Strategy Watchlist'!$A:$A,0)),"Not Found")</f>
        <v>0.87</v>
      </c>
      <c r="W264" s="21">
        <f t="array" ref="W264">IFERROR(INDEX('Strategy Watchlist'!X:X,MATCH($A264,'Strategy Watchlist'!$A:$A,0)),"Not Found")</f>
        <v>1.73</v>
      </c>
      <c r="X264" s="21">
        <f t="array" ref="X264">IFERROR(INDEX('Strategy Watchlist'!Y:Y,MATCH($A264,'Strategy Watchlist'!$A:$A,0)),"Not Found")</f>
        <v>3.54</v>
      </c>
      <c r="Y264" s="22" t="str">
        <f t="array" ref="Y264">IFERROR(INDEX('Strategy Watchlist'!Z:Z,MATCH($A264,'Strategy Watchlist'!$A:$A,0)),"Not Found")</f>
        <v>https://www.tradingview.com/chart/oDhEAePi/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</row>
    <row r="265" spans="1:119" ht="14.25" customHeight="1" x14ac:dyDescent="0.2">
      <c r="A265" s="17" t="str">
        <f t="shared" si="102"/>
        <v>[fa32aee4]|LINK|McGinley|45m</v>
      </c>
      <c r="B265" s="1" t="s">
        <v>95</v>
      </c>
      <c r="C265" s="23">
        <f t="shared" si="103"/>
        <v>0.2</v>
      </c>
      <c r="D265" s="58" t="s">
        <v>55</v>
      </c>
      <c r="E265" s="1" t="s">
        <v>25</v>
      </c>
      <c r="F265" s="1" t="s">
        <v>47</v>
      </c>
      <c r="G265" s="1" t="s">
        <v>32</v>
      </c>
      <c r="H265" s="1">
        <v>8000</v>
      </c>
      <c r="I265" s="40">
        <f t="shared" si="104"/>
        <v>1680</v>
      </c>
      <c r="J265" s="2">
        <v>3000</v>
      </c>
      <c r="K265" s="1">
        <v>160</v>
      </c>
      <c r="L265" s="19">
        <f t="array" ref="L265">IFERROR(INDEX('Strategy Watchlist'!L:L,MATCH($A265,'Strategy Watchlist'!$A:$A,0)),"Not Found")</f>
        <v>16.683760683760685</v>
      </c>
      <c r="M265" s="19">
        <f t="array" ref="M265">IFERROR(INDEX('Strategy Watchlist'!M:M,MATCH($A265,'Strategy Watchlist'!$A:$A,0)),"Not Found")</f>
        <v>176</v>
      </c>
      <c r="N265" s="20">
        <f t="array" ref="N265">IFERROR(INDEX('Strategy Watchlist'!N:N,MATCH($A265,'Strategy Watchlist'!$A:$A,0)),"Not Found")</f>
        <v>45833</v>
      </c>
      <c r="O265" s="21"/>
      <c r="P265" s="21">
        <f t="array" ref="P265">IFERROR(INDEX('Strategy Watchlist'!Q:Q,MATCH($A265,'Strategy Watchlist'!$A:$A,0)),"Not Found")</f>
        <v>0.36</v>
      </c>
      <c r="Q265" s="21">
        <f t="array" ref="Q265">IFERROR(INDEX('Strategy Watchlist'!R:R,MATCH($A265,'Strategy Watchlist'!$A:$A,0)),"Not Found")</f>
        <v>7</v>
      </c>
      <c r="R265" s="21">
        <f t="array" ref="R265">IFERROR(INDEX('Strategy Watchlist'!S:S,MATCH($A265,'Strategy Watchlist'!$A:$A,0)),"Not Found")</f>
        <v>3.76</v>
      </c>
      <c r="S265" s="21">
        <f t="array" ref="S265">IFERROR(INDEX('Strategy Watchlist'!T:T,MATCH($A265,'Strategy Watchlist'!$A:$A,0)),"Not Found")</f>
        <v>2.2200000000000002</v>
      </c>
      <c r="T265" s="21">
        <f t="array" ref="T265">IFERROR(INDEX('Strategy Watchlist'!U:U,MATCH($A265,'Strategy Watchlist'!$A:$A,0)),"Not Found")</f>
        <v>6.68</v>
      </c>
      <c r="U265" s="21">
        <f t="array" ref="U265">IFERROR(INDEX('Strategy Watchlist'!V:V,MATCH($A265,'Strategy Watchlist'!$A:$A,0)),"Not Found")</f>
        <v>-0.14000000000000001</v>
      </c>
      <c r="V265" s="21">
        <f t="array" ref="V265">IFERROR(INDEX('Strategy Watchlist'!W:W,MATCH($A265,'Strategy Watchlist'!$A:$A,0)),"Not Found")</f>
        <v>5.22</v>
      </c>
      <c r="W265" s="21">
        <f t="array" ref="W265">IFERROR(INDEX('Strategy Watchlist'!X:X,MATCH($A265,'Strategy Watchlist'!$A:$A,0)),"Not Found")</f>
        <v>0</v>
      </c>
      <c r="X265" s="21">
        <f t="array" ref="X265">IFERROR(INDEX('Strategy Watchlist'!Y:Y,MATCH($A265,'Strategy Watchlist'!$A:$A,0)),"Not Found")</f>
        <v>0.13</v>
      </c>
      <c r="Y265" s="22" t="str">
        <f t="array" ref="Y265">IFERROR(INDEX('Strategy Watchlist'!Z:Z,MATCH($A265,'Strategy Watchlist'!$A:$A,0)),"Not Found")</f>
        <v>https://www.tradingview.com/chart/CTC73Olh/</v>
      </c>
      <c r="Z265" s="58"/>
      <c r="AA265" s="58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</row>
    <row r="266" spans="1:119" ht="14.25" customHeight="1" x14ac:dyDescent="0.2">
      <c r="A266" s="17" t="str">
        <f t="shared" si="102"/>
        <v>|LINK|McGinley|45m</v>
      </c>
      <c r="B266" s="1" t="s">
        <v>95</v>
      </c>
      <c r="C266" s="23">
        <f t="shared" si="103"/>
        <v>0.3</v>
      </c>
      <c r="D266" s="58"/>
      <c r="E266" s="1" t="s">
        <v>25</v>
      </c>
      <c r="F266" s="1" t="s">
        <v>47</v>
      </c>
      <c r="G266" s="1" t="s">
        <v>32</v>
      </c>
      <c r="H266" s="1">
        <v>12000</v>
      </c>
      <c r="I266" s="40">
        <f t="shared" si="104"/>
        <v>2520</v>
      </c>
      <c r="J266" s="2">
        <v>3100</v>
      </c>
      <c r="K266" s="1">
        <v>100</v>
      </c>
      <c r="L266" s="19">
        <f t="array" ref="L266">IFERROR(INDEX('Strategy Watchlist'!L:L,MATCH($A266,'Strategy Watchlist'!$A:$A,0)),"Not Found")</f>
        <v>7.7349823321554769</v>
      </c>
      <c r="M266" s="19">
        <f t="array" ref="M266">IFERROR(INDEX('Strategy Watchlist'!M:M,MATCH($A266,'Strategy Watchlist'!$A:$A,0)),"Not Found")</f>
        <v>147</v>
      </c>
      <c r="N266" s="20">
        <f t="array" ref="N266">IFERROR(INDEX('Strategy Watchlist'!N:N,MATCH($A266,'Strategy Watchlist'!$A:$A,0)),"Not Found")</f>
        <v>45802</v>
      </c>
      <c r="O266" s="21"/>
      <c r="P266" s="21">
        <f t="array" ref="P266">IFERROR(INDEX('Strategy Watchlist'!Q:Q,MATCH($A266,'Strategy Watchlist'!$A:$A,0)),"Not Found")</f>
        <v>-1.1000000000000001</v>
      </c>
      <c r="Q266" s="21">
        <f t="array" ref="Q266">IFERROR(INDEX('Strategy Watchlist'!R:R,MATCH($A266,'Strategy Watchlist'!$A:$A,0)),"Not Found")</f>
        <v>2.98</v>
      </c>
      <c r="R266" s="21">
        <f t="array" ref="R266">IFERROR(INDEX('Strategy Watchlist'!S:S,MATCH($A266,'Strategy Watchlist'!$A:$A,0)),"Not Found")</f>
        <v>2.97</v>
      </c>
      <c r="S266" s="21">
        <f t="array" ref="S266">IFERROR(INDEX('Strategy Watchlist'!T:T,MATCH($A266,'Strategy Watchlist'!$A:$A,0)),"Not Found")</f>
        <v>2.9</v>
      </c>
      <c r="T266" s="21">
        <f t="array" ref="T266">IFERROR(INDEX('Strategy Watchlist'!U:U,MATCH($A266,'Strategy Watchlist'!$A:$A,0)),"Not Found")</f>
        <v>2</v>
      </c>
      <c r="U266" s="21">
        <f t="array" ref="U266">IFERROR(INDEX('Strategy Watchlist'!V:V,MATCH($A266,'Strategy Watchlist'!$A:$A,0)),"Not Found")</f>
        <v>2.2400000000000002</v>
      </c>
      <c r="V266" s="21">
        <f t="array" ref="V266">IFERROR(INDEX('Strategy Watchlist'!W:W,MATCH($A266,'Strategy Watchlist'!$A:$A,0)),"Not Found")</f>
        <v>0.79</v>
      </c>
      <c r="W266" s="21">
        <f t="array" ref="W266">IFERROR(INDEX('Strategy Watchlist'!X:X,MATCH($A266,'Strategy Watchlist'!$A:$A,0)),"Not Found")</f>
        <v>0.69</v>
      </c>
      <c r="X266" s="21">
        <f t="array" ref="X266">IFERROR(INDEX('Strategy Watchlist'!Y:Y,MATCH($A266,'Strategy Watchlist'!$A:$A,0)),"Not Found")</f>
        <v>-0.61</v>
      </c>
      <c r="Y266" s="22" t="str">
        <f t="array" ref="Y266">IFERROR(INDEX('Strategy Watchlist'!Z:Z,MATCH($A266,'Strategy Watchlist'!$A:$A,0)),"Not Found")</f>
        <v>https://www.tradingview.com/chart/elrmSYee/</v>
      </c>
      <c r="Z266" s="58"/>
      <c r="AA266" s="58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</row>
    <row r="267" spans="1:119" ht="14.25" customHeight="1" x14ac:dyDescent="0.2">
      <c r="A267" s="17" t="str">
        <f t="shared" si="102"/>
        <v>[65caeaa0]|ROSE|WolfnBear|1H</v>
      </c>
      <c r="B267" s="1" t="s">
        <v>95</v>
      </c>
      <c r="C267" s="23">
        <f t="shared" si="103"/>
        <v>0.375</v>
      </c>
      <c r="D267" s="58" t="s">
        <v>49</v>
      </c>
      <c r="E267" s="1" t="s">
        <v>50</v>
      </c>
      <c r="F267" s="1" t="s">
        <v>51</v>
      </c>
      <c r="G267" s="1" t="s">
        <v>52</v>
      </c>
      <c r="H267" s="1">
        <v>15000</v>
      </c>
      <c r="I267" s="40">
        <f t="shared" si="104"/>
        <v>3150</v>
      </c>
      <c r="J267" s="2">
        <v>4300</v>
      </c>
      <c r="K267" s="1">
        <v>160</v>
      </c>
      <c r="L267" s="19">
        <f t="array" ref="L267">IFERROR(INDEX('Strategy Watchlist'!L:L,MATCH($A267,'Strategy Watchlist'!$A:$A,0)),"Not Found")</f>
        <v>9.1257485029940124</v>
      </c>
      <c r="M267" s="19">
        <f t="array" ref="M267">IFERROR(INDEX('Strategy Watchlist'!M:M,MATCH($A267,'Strategy Watchlist'!$A:$A,0)),"Not Found")</f>
        <v>172</v>
      </c>
      <c r="N267" s="20">
        <f t="array" ref="N267">IFERROR(INDEX('Strategy Watchlist'!N:N,MATCH($A267,'Strategy Watchlist'!$A:$A,0)),"Not Found")</f>
        <v>45682</v>
      </c>
      <c r="O267" s="21"/>
      <c r="P267" s="21">
        <f t="array" ref="P267">IFERROR(INDEX('Strategy Watchlist'!Q:Q,MATCH($A267,'Strategy Watchlist'!$A:$A,0)),"Not Found")</f>
        <v>2.39</v>
      </c>
      <c r="Q267" s="21">
        <f t="array" ref="Q267">IFERROR(INDEX('Strategy Watchlist'!R:R,MATCH($A267,'Strategy Watchlist'!$A:$A,0)),"Not Found")</f>
        <v>0.38</v>
      </c>
      <c r="R267" s="21">
        <f t="array" ref="R267">IFERROR(INDEX('Strategy Watchlist'!S:S,MATCH($A267,'Strategy Watchlist'!$A:$A,0)),"Not Found")</f>
        <v>1.76</v>
      </c>
      <c r="S267" s="21">
        <f t="array" ref="S267">IFERROR(INDEX('Strategy Watchlist'!T:T,MATCH($A267,'Strategy Watchlist'!$A:$A,0)),"Not Found")</f>
        <v>0.72</v>
      </c>
      <c r="T267" s="21">
        <f t="array" ref="T267">IFERROR(INDEX('Strategy Watchlist'!U:U,MATCH($A267,'Strategy Watchlist'!$A:$A,0)),"Not Found")</f>
        <v>-0.84</v>
      </c>
      <c r="U267" s="21">
        <f t="array" ref="U267">IFERROR(INDEX('Strategy Watchlist'!V:V,MATCH($A267,'Strategy Watchlist'!$A:$A,0)),"Not Found")</f>
        <v>-0.24</v>
      </c>
      <c r="V267" s="21">
        <f t="array" ref="V267">IFERROR(INDEX('Strategy Watchlist'!W:W,MATCH($A267,'Strategy Watchlist'!$A:$A,0)),"Not Found")</f>
        <v>-1.19</v>
      </c>
      <c r="W267" s="21">
        <f t="array" ref="W267">IFERROR(INDEX('Strategy Watchlist'!X:X,MATCH($A267,'Strategy Watchlist'!$A:$A,0)),"Not Found")</f>
        <v>0.18</v>
      </c>
      <c r="X267" s="21">
        <f t="array" ref="X267">IFERROR(INDEX('Strategy Watchlist'!Y:Y,MATCH($A267,'Strategy Watchlist'!$A:$A,0)),"Not Found")</f>
        <v>2.34</v>
      </c>
      <c r="Y267" s="22" t="str">
        <f t="array" ref="Y267">IFERROR(INDEX('Strategy Watchlist'!Z:Z,MATCH($A267,'Strategy Watchlist'!$A:$A,0)),"Not Found")</f>
        <v>https://www.tradingview.com/chart/p2Bvj1LX/</v>
      </c>
      <c r="Z267" s="58"/>
      <c r="AA267" s="58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</row>
    <row r="268" spans="1:119" ht="14.25" customHeight="1" x14ac:dyDescent="0.2">
      <c r="A268" s="17" t="str">
        <f t="shared" si="102"/>
        <v>[c2afa489]|ETH|superStrike|1H</v>
      </c>
      <c r="B268" s="1"/>
      <c r="C268" s="23">
        <f t="shared" si="103"/>
        <v>0.2</v>
      </c>
      <c r="D268" s="58" t="s">
        <v>146</v>
      </c>
      <c r="E268" s="1" t="s">
        <v>46</v>
      </c>
      <c r="F268" s="1" t="s">
        <v>147</v>
      </c>
      <c r="G268" s="1" t="s">
        <v>52</v>
      </c>
      <c r="H268" s="1">
        <v>8000</v>
      </c>
      <c r="I268" s="40">
        <f t="shared" si="104"/>
        <v>1680</v>
      </c>
      <c r="J268" s="2">
        <v>3300</v>
      </c>
      <c r="K268" s="1">
        <v>100</v>
      </c>
      <c r="L268" s="19">
        <f t="array" ref="L268">IFERROR(INDEX('Strategy Watchlist'!L:L,MATCH($A268,'Strategy Watchlist'!$A:$A,0)),"Not Found")</f>
        <v>10.205655526992288</v>
      </c>
      <c r="M268" s="19">
        <f t="array" ref="M268">IFERROR(INDEX('Strategy Watchlist'!M:M,MATCH($A268,'Strategy Watchlist'!$A:$A,0)),"Not Found")</f>
        <v>213</v>
      </c>
      <c r="N268" s="20">
        <f t="array" ref="N268">IFERROR(INDEX('Strategy Watchlist'!N:N,MATCH($A268,'Strategy Watchlist'!$A:$A,0)),"Not Found")</f>
        <v>45713</v>
      </c>
      <c r="O268" s="21"/>
      <c r="P268" s="21">
        <f t="array" ref="P268">IFERROR(INDEX('Strategy Watchlist'!Q:Q,MATCH($A268,'Strategy Watchlist'!$A:$A,0)),"Not Found")</f>
        <v>-2.1800000000000002</v>
      </c>
      <c r="Q268" s="21">
        <f t="array" ref="Q268">IFERROR(INDEX('Strategy Watchlist'!R:R,MATCH($A268,'Strategy Watchlist'!$A:$A,0)),"Not Found")</f>
        <v>1.05</v>
      </c>
      <c r="R268" s="21">
        <f t="array" ref="R268">IFERROR(INDEX('Strategy Watchlist'!S:S,MATCH($A268,'Strategy Watchlist'!$A:$A,0)),"Not Found")</f>
        <v>4.1500000000000004</v>
      </c>
      <c r="S268" s="21">
        <f t="array" ref="S268">IFERROR(INDEX('Strategy Watchlist'!T:T,MATCH($A268,'Strategy Watchlist'!$A:$A,0)),"Not Found")</f>
        <v>-3.52</v>
      </c>
      <c r="T268" s="21">
        <f t="array" ref="T268">IFERROR(INDEX('Strategy Watchlist'!U:U,MATCH($A268,'Strategy Watchlist'!$A:$A,0)),"Not Found")</f>
        <v>3.5</v>
      </c>
      <c r="U268" s="21">
        <f t="array" ref="U268">IFERROR(INDEX('Strategy Watchlist'!V:V,MATCH($A268,'Strategy Watchlist'!$A:$A,0)),"Not Found")</f>
        <v>2.36</v>
      </c>
      <c r="V268" s="21">
        <f t="array" ref="V268">IFERROR(INDEX('Strategy Watchlist'!W:W,MATCH($A268,'Strategy Watchlist'!$A:$A,0)),"Not Found")</f>
        <v>-0.48</v>
      </c>
      <c r="W268" s="21">
        <f t="array" ref="W268">IFERROR(INDEX('Strategy Watchlist'!X:X,MATCH($A268,'Strategy Watchlist'!$A:$A,0)),"Not Found")</f>
        <v>1.94</v>
      </c>
      <c r="X268" s="21">
        <f t="array" ref="X268">IFERROR(INDEX('Strategy Watchlist'!Y:Y,MATCH($A268,'Strategy Watchlist'!$A:$A,0)),"Not Found")</f>
        <v>0.32</v>
      </c>
      <c r="Y268" s="22" t="str">
        <f t="array" ref="Y268">IFERROR(INDEX('Strategy Watchlist'!Z:Z,MATCH($A268,'Strategy Watchlist'!$A:$A,0)),"Not Found")</f>
        <v>https://www.tradingview.com/chart/rVeFMiU4/</v>
      </c>
      <c r="Z268" s="58"/>
      <c r="AA268" s="58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</row>
    <row r="269" spans="1:119" ht="14.25" customHeight="1" x14ac:dyDescent="0.2">
      <c r="A269" s="17" t="str">
        <f t="shared" si="102"/>
        <v>[6dcd4dc9]|ETH|precisionTrend|30m</v>
      </c>
      <c r="B269" s="1"/>
      <c r="C269" s="23">
        <f t="shared" si="103"/>
        <v>0.2</v>
      </c>
      <c r="D269" s="58" t="s">
        <v>86</v>
      </c>
      <c r="E269" s="1" t="s">
        <v>46</v>
      </c>
      <c r="F269" s="1" t="s">
        <v>54</v>
      </c>
      <c r="G269" s="1" t="s">
        <v>38</v>
      </c>
      <c r="H269" s="1">
        <v>8000</v>
      </c>
      <c r="I269" s="40">
        <f t="shared" si="104"/>
        <v>1680</v>
      </c>
      <c r="J269" s="2">
        <v>6200</v>
      </c>
      <c r="K269" s="1">
        <v>100</v>
      </c>
      <c r="L269" s="19">
        <f t="array" ref="L269">IFERROR(INDEX('Strategy Watchlist'!L:L,MATCH($A269,'Strategy Watchlist'!$A:$A,0)),"Not Found")</f>
        <v>9.2112359550561802</v>
      </c>
      <c r="M269" s="19">
        <f t="array" ref="M269">IFERROR(INDEX('Strategy Watchlist'!M:M,MATCH($A269,'Strategy Watchlist'!$A:$A,0)),"Not Found")</f>
        <v>312</v>
      </c>
      <c r="N269" s="20">
        <f t="array" ref="N269">IFERROR(INDEX('Strategy Watchlist'!N:N,MATCH($A269,'Strategy Watchlist'!$A:$A,0)),"Not Found")</f>
        <v>45772</v>
      </c>
      <c r="O269" s="21"/>
      <c r="P269" s="21">
        <f t="array" ref="P269">IFERROR(INDEX('Strategy Watchlist'!Q:Q,MATCH($A269,'Strategy Watchlist'!$A:$A,0)),"Not Found")</f>
        <v>-2.52</v>
      </c>
      <c r="Q269" s="21">
        <f t="array" ref="Q269">IFERROR(INDEX('Strategy Watchlist'!R:R,MATCH($A269,'Strategy Watchlist'!$A:$A,0)),"Not Found")</f>
        <v>1.84</v>
      </c>
      <c r="R269" s="21">
        <f t="array" ref="R269">IFERROR(INDEX('Strategy Watchlist'!S:S,MATCH($A269,'Strategy Watchlist'!$A:$A,0)),"Not Found")</f>
        <v>3.9</v>
      </c>
      <c r="S269" s="21">
        <f t="array" ref="S269">IFERROR(INDEX('Strategy Watchlist'!T:T,MATCH($A269,'Strategy Watchlist'!$A:$A,0)),"Not Found")</f>
        <v>1.37</v>
      </c>
      <c r="T269" s="21">
        <f t="array" ref="T269">IFERROR(INDEX('Strategy Watchlist'!U:U,MATCH($A269,'Strategy Watchlist'!$A:$A,0)),"Not Found")</f>
        <v>6.22</v>
      </c>
      <c r="U269" s="21">
        <f t="array" ref="U269">IFERROR(INDEX('Strategy Watchlist'!V:V,MATCH($A269,'Strategy Watchlist'!$A:$A,0)),"Not Found")</f>
        <v>3</v>
      </c>
      <c r="V269" s="21">
        <f t="array" ref="V269">IFERROR(INDEX('Strategy Watchlist'!W:W,MATCH($A269,'Strategy Watchlist'!$A:$A,0)),"Not Found")</f>
        <v>3.99</v>
      </c>
      <c r="W269" s="21">
        <f t="array" ref="W269">IFERROR(INDEX('Strategy Watchlist'!X:X,MATCH($A269,'Strategy Watchlist'!$A:$A,0)),"Not Found")</f>
        <v>0.93</v>
      </c>
      <c r="X269" s="21">
        <f t="array" ref="X269">IFERROR(INDEX('Strategy Watchlist'!Y:Y,MATCH($A269,'Strategy Watchlist'!$A:$A,0)),"Not Found")</f>
        <v>2.21</v>
      </c>
      <c r="Y269" s="22" t="str">
        <f t="array" ref="Y269">IFERROR(INDEX('Strategy Watchlist'!Z:Z,MATCH($A269,'Strategy Watchlist'!$A:$A,0)),"Not Found")</f>
        <v>https://www.tradingview.com/chart/YxD2lfI2/</v>
      </c>
      <c r="Z269" s="58"/>
      <c r="AA269" s="58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</row>
    <row r="270" spans="1:119" ht="14.25" customHeight="1" x14ac:dyDescent="0.2">
      <c r="A270" s="17" t="str">
        <f t="shared" si="102"/>
        <v>[a9aeb4cc]|ETH|McGinley|90m</v>
      </c>
      <c r="B270" s="1" t="s">
        <v>95</v>
      </c>
      <c r="C270" s="23">
        <f t="shared" si="103"/>
        <v>0.375</v>
      </c>
      <c r="D270" s="58" t="s">
        <v>45</v>
      </c>
      <c r="E270" s="1" t="s">
        <v>46</v>
      </c>
      <c r="F270" s="1" t="s">
        <v>47</v>
      </c>
      <c r="G270" s="1" t="s">
        <v>48</v>
      </c>
      <c r="H270" s="1">
        <v>15000</v>
      </c>
      <c r="I270" s="40">
        <f t="shared" si="104"/>
        <v>3150</v>
      </c>
      <c r="J270" s="2">
        <v>5000</v>
      </c>
      <c r="K270" s="1">
        <v>120</v>
      </c>
      <c r="L270" s="19">
        <f t="array" ref="L270">IFERROR(INDEX('Strategy Watchlist'!L:L,MATCH($A270,'Strategy Watchlist'!$A:$A,0)),"Not Found")</f>
        <v>7.4173228346456694</v>
      </c>
      <c r="M270" s="19">
        <f t="array" ref="M270">IFERROR(INDEX('Strategy Watchlist'!M:M,MATCH($A270,'Strategy Watchlist'!$A:$A,0)),"Not Found")</f>
        <v>72</v>
      </c>
      <c r="N270" s="20">
        <f t="array" ref="N270">IFERROR(INDEX('Strategy Watchlist'!N:N,MATCH($A270,'Strategy Watchlist'!$A:$A,0)),"Not Found")</f>
        <v>45772</v>
      </c>
      <c r="O270" s="21"/>
      <c r="P270" s="21">
        <f t="array" ref="P270">IFERROR(INDEX('Strategy Watchlist'!Q:Q,MATCH($A270,'Strategy Watchlist'!$A:$A,0)),"Not Found")</f>
        <v>-0.39</v>
      </c>
      <c r="Q270" s="21">
        <f t="array" ref="Q270">IFERROR(INDEX('Strategy Watchlist'!R:R,MATCH($A270,'Strategy Watchlist'!$A:$A,0)),"Not Found")</f>
        <v>2.4500000000000002</v>
      </c>
      <c r="R270" s="21">
        <f t="array" ref="R270">IFERROR(INDEX('Strategy Watchlist'!S:S,MATCH($A270,'Strategy Watchlist'!$A:$A,0)),"Not Found")</f>
        <v>-0.24</v>
      </c>
      <c r="S270" s="21">
        <f t="array" ref="S270">IFERROR(INDEX('Strategy Watchlist'!T:T,MATCH($A270,'Strategy Watchlist'!$A:$A,0)),"Not Found")</f>
        <v>0.53</v>
      </c>
      <c r="T270" s="21">
        <f t="array" ref="T270">IFERROR(INDEX('Strategy Watchlist'!U:U,MATCH($A270,'Strategy Watchlist'!$A:$A,0)),"Not Found")</f>
        <v>2.38</v>
      </c>
      <c r="U270" s="21">
        <f t="array" ref="U270">IFERROR(INDEX('Strategy Watchlist'!V:V,MATCH($A270,'Strategy Watchlist'!$A:$A,0)),"Not Found")</f>
        <v>0.94</v>
      </c>
      <c r="V270" s="21">
        <f t="array" ref="V270">IFERROR(INDEX('Strategy Watchlist'!W:W,MATCH($A270,'Strategy Watchlist'!$A:$A,0)),"Not Found")</f>
        <v>0</v>
      </c>
      <c r="W270" s="21">
        <f t="array" ref="W270">IFERROR(INDEX('Strategy Watchlist'!X:X,MATCH($A270,'Strategy Watchlist'!$A:$A,0)),"Not Found")</f>
        <v>2.77</v>
      </c>
      <c r="X270" s="21">
        <f t="array" ref="X270">IFERROR(INDEX('Strategy Watchlist'!Y:Y,MATCH($A270,'Strategy Watchlist'!$A:$A,0)),"Not Found")</f>
        <v>-0.13</v>
      </c>
      <c r="Y270" s="22" t="str">
        <f t="array" ref="Y270">IFERROR(INDEX('Strategy Watchlist'!Z:Z,MATCH($A270,'Strategy Watchlist'!$A:$A,0)),"Not Found")</f>
        <v>https://www.tradingview.com/chart/dPRT8fSK/</v>
      </c>
      <c r="Z270" s="58"/>
      <c r="AA270" s="58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</row>
    <row r="271" spans="1:119" ht="14.25" customHeight="1" x14ac:dyDescent="0.2">
      <c r="A271" s="17" t="str">
        <f t="shared" si="102"/>
        <v>[e0ab531e]|ETH|McGinley|2H</v>
      </c>
      <c r="B271" s="1"/>
      <c r="C271" s="23">
        <f t="shared" si="103"/>
        <v>0.15</v>
      </c>
      <c r="D271" s="58" t="s">
        <v>148</v>
      </c>
      <c r="E271" s="1" t="s">
        <v>46</v>
      </c>
      <c r="F271" s="1" t="s">
        <v>47</v>
      </c>
      <c r="G271" s="1" t="s">
        <v>149</v>
      </c>
      <c r="H271" s="1">
        <v>6000</v>
      </c>
      <c r="I271" s="40">
        <f t="shared" si="104"/>
        <v>1260</v>
      </c>
      <c r="J271" s="2">
        <v>2400</v>
      </c>
      <c r="K271" s="1">
        <v>160</v>
      </c>
      <c r="L271" s="19">
        <f t="array" ref="L271">IFERROR(INDEX('Strategy Watchlist'!L:L,MATCH($A271,'Strategy Watchlist'!$A:$A,0)),"Not Found")</f>
        <v>4.8614649681528661</v>
      </c>
      <c r="M271" s="19">
        <f t="array" ref="M271">IFERROR(INDEX('Strategy Watchlist'!M:M,MATCH($A271,'Strategy Watchlist'!$A:$A,0)),"Not Found")</f>
        <v>103</v>
      </c>
      <c r="N271" s="20">
        <f t="array" ref="N271">IFERROR(INDEX('Strategy Watchlist'!N:N,MATCH($A271,'Strategy Watchlist'!$A:$A,0)),"Not Found")</f>
        <v>45682</v>
      </c>
      <c r="O271" s="21"/>
      <c r="P271" s="21">
        <f t="array" ref="P271">IFERROR(INDEX('Strategy Watchlist'!Q:Q,MATCH($A271,'Strategy Watchlist'!$A:$A,0)),"Not Found")</f>
        <v>0.35</v>
      </c>
      <c r="Q271" s="21">
        <f t="array" ref="Q271">IFERROR(INDEX('Strategy Watchlist'!R:R,MATCH($A271,'Strategy Watchlist'!$A:$A,0)),"Not Found")</f>
        <v>0.34</v>
      </c>
      <c r="R271" s="21">
        <f t="array" ref="R271">IFERROR(INDEX('Strategy Watchlist'!S:S,MATCH($A271,'Strategy Watchlist'!$A:$A,0)),"Not Found")</f>
        <v>3.99</v>
      </c>
      <c r="S271" s="21">
        <f t="array" ref="S271">IFERROR(INDEX('Strategy Watchlist'!T:T,MATCH($A271,'Strategy Watchlist'!$A:$A,0)),"Not Found")</f>
        <v>0.22</v>
      </c>
      <c r="T271" s="21">
        <f t="array" ref="T271">IFERROR(INDEX('Strategy Watchlist'!U:U,MATCH($A271,'Strategy Watchlist'!$A:$A,0)),"Not Found")</f>
        <v>4.67</v>
      </c>
      <c r="U271" s="21">
        <f t="array" ref="U271">IFERROR(INDEX('Strategy Watchlist'!V:V,MATCH($A271,'Strategy Watchlist'!$A:$A,0)),"Not Found")</f>
        <v>1.73</v>
      </c>
      <c r="V271" s="21">
        <f t="array" ref="V271">IFERROR(INDEX('Strategy Watchlist'!W:W,MATCH($A271,'Strategy Watchlist'!$A:$A,0)),"Not Found")</f>
        <v>1.04</v>
      </c>
      <c r="W271" s="21">
        <f t="array" ref="W271">IFERROR(INDEX('Strategy Watchlist'!X:X,MATCH($A271,'Strategy Watchlist'!$A:$A,0)),"Not Found")</f>
        <v>2.34</v>
      </c>
      <c r="X271" s="21">
        <f t="array" ref="X271">IFERROR(INDEX('Strategy Watchlist'!Y:Y,MATCH($A271,'Strategy Watchlist'!$A:$A,0)),"Not Found")</f>
        <v>-0.54</v>
      </c>
      <c r="Y271" s="22" t="str">
        <f t="array" ref="Y271">IFERROR(INDEX('Strategy Watchlist'!Z:Z,MATCH($A271,'Strategy Watchlist'!$A:$A,0)),"Not Found")</f>
        <v>https://www.tradingview.com/chart/Yh9TaqZE/</v>
      </c>
      <c r="Z271" s="58"/>
      <c r="AA271" s="58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</row>
    <row r="272" spans="1:119" ht="14.25" customHeight="1" x14ac:dyDescent="0.2">
      <c r="A272" s="17" t="str">
        <f t="shared" si="102"/>
        <v>[b39d1d6e]|PIXEL|WolfnBear|1H</v>
      </c>
      <c r="B272" s="1"/>
      <c r="C272" s="23">
        <f t="shared" si="103"/>
        <v>0.3125</v>
      </c>
      <c r="D272" s="58" t="s">
        <v>93</v>
      </c>
      <c r="E272" s="1" t="s">
        <v>94</v>
      </c>
      <c r="F272" s="1" t="s">
        <v>51</v>
      </c>
      <c r="G272" s="1" t="s">
        <v>52</v>
      </c>
      <c r="H272" s="1">
        <v>12500</v>
      </c>
      <c r="I272" s="40">
        <f t="shared" si="104"/>
        <v>2625</v>
      </c>
      <c r="J272" s="2">
        <v>4000</v>
      </c>
      <c r="K272" s="1">
        <v>150</v>
      </c>
      <c r="L272" s="19">
        <f t="array" ref="L272">IFERROR(INDEX('Strategy Watchlist'!L:L,MATCH($A272,'Strategy Watchlist'!$A:$A,0)),"Not Found")</f>
        <v>6.7377398720682304</v>
      </c>
      <c r="M272" s="19">
        <f t="array" ref="M272">IFERROR(INDEX('Strategy Watchlist'!M:M,MATCH($A272,'Strategy Watchlist'!$A:$A,0)),"Not Found")</f>
        <v>124</v>
      </c>
      <c r="N272" s="20">
        <f t="array" ref="N272">IFERROR(INDEX('Strategy Watchlist'!N:N,MATCH($A272,'Strategy Watchlist'!$A:$A,0)),"Not Found")</f>
        <v>45833</v>
      </c>
      <c r="O272" s="21"/>
      <c r="P272" s="21">
        <f t="array" ref="P272">IFERROR(INDEX('Strategy Watchlist'!Q:Q,MATCH($A272,'Strategy Watchlist'!$A:$A,0)),"Not Found")</f>
        <v>-0.57999999999999996</v>
      </c>
      <c r="Q272" s="21">
        <f t="array" ref="Q272">IFERROR(INDEX('Strategy Watchlist'!R:R,MATCH($A272,'Strategy Watchlist'!$A:$A,0)),"Not Found")</f>
        <v>2.67</v>
      </c>
      <c r="R272" s="21">
        <f t="array" ref="R272">IFERROR(INDEX('Strategy Watchlist'!S:S,MATCH($A272,'Strategy Watchlist'!$A:$A,0)),"Not Found")</f>
        <v>4.07</v>
      </c>
      <c r="S272" s="21">
        <f t="array" ref="S272">IFERROR(INDEX('Strategy Watchlist'!T:T,MATCH($A272,'Strategy Watchlist'!$A:$A,0)),"Not Found")</f>
        <v>2.2999999999999998</v>
      </c>
      <c r="T272" s="21">
        <f t="array" ref="T272">IFERROR(INDEX('Strategy Watchlist'!U:U,MATCH($A272,'Strategy Watchlist'!$A:$A,0)),"Not Found")</f>
        <v>1.05</v>
      </c>
      <c r="U272" s="21">
        <f t="array" ref="U272">IFERROR(INDEX('Strategy Watchlist'!V:V,MATCH($A272,'Strategy Watchlist'!$A:$A,0)),"Not Found")</f>
        <v>-1.1299999999999999</v>
      </c>
      <c r="V272" s="21">
        <f t="array" ref="V272">IFERROR(INDEX('Strategy Watchlist'!W:W,MATCH($A272,'Strategy Watchlist'!$A:$A,0)),"Not Found")</f>
        <v>0.64</v>
      </c>
      <c r="W272" s="21">
        <f t="array" ref="W272">IFERROR(INDEX('Strategy Watchlist'!X:X,MATCH($A272,'Strategy Watchlist'!$A:$A,0)),"Not Found")</f>
        <v>-0.53</v>
      </c>
      <c r="X272" s="21">
        <f t="array" ref="X272">IFERROR(INDEX('Strategy Watchlist'!Y:Y,MATCH($A272,'Strategy Watchlist'!$A:$A,0)),"Not Found")</f>
        <v>-0.16</v>
      </c>
      <c r="Y272" s="22" t="str">
        <f t="array" ref="Y272">IFERROR(INDEX('Strategy Watchlist'!Z:Z,MATCH($A272,'Strategy Watchlist'!$A:$A,0)),"Not Found")</f>
        <v>https://www.tradingview.com/chart/7HMGQSsJ/</v>
      </c>
      <c r="Z272" s="58"/>
      <c r="AA272" s="58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">
        <v>62</v>
      </c>
      <c r="AV272" s="1" t="s">
        <v>95</v>
      </c>
      <c r="AW272" s="1" t="s">
        <v>94</v>
      </c>
      <c r="AX272" s="1" t="s">
        <v>51</v>
      </c>
      <c r="AY272" s="18">
        <v>8.125</v>
      </c>
      <c r="AZ272" s="4">
        <v>124</v>
      </c>
      <c r="BA272" s="1" t="s">
        <v>52</v>
      </c>
      <c r="BB272" s="76">
        <v>45833</v>
      </c>
      <c r="BC272" s="77">
        <v>-0.09</v>
      </c>
      <c r="BD272" s="77">
        <v>2.89</v>
      </c>
      <c r="BE272" s="77">
        <v>4.46</v>
      </c>
      <c r="BF272" s="77">
        <v>2.52</v>
      </c>
      <c r="BG272" s="77">
        <v>1.25</v>
      </c>
      <c r="BH272" s="77">
        <v>-1.1299999999999999</v>
      </c>
      <c r="BI272" s="77">
        <v>0.64</v>
      </c>
      <c r="BJ272" s="77">
        <v>-0.53</v>
      </c>
      <c r="BK272" s="77">
        <v>-0.16</v>
      </c>
      <c r="BL272" s="1" t="s">
        <v>93</v>
      </c>
      <c r="BM272" s="1" t="s">
        <v>96</v>
      </c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</row>
    <row r="273" spans="1:119" ht="14.25" customHeight="1" x14ac:dyDescent="0.2">
      <c r="A273" s="17" t="str">
        <f t="shared" si="102"/>
        <v>[9e41937c]|NEAR|Stiff Surge|45m</v>
      </c>
      <c r="B273" s="1"/>
      <c r="C273" s="23">
        <f t="shared" si="103"/>
        <v>0.15</v>
      </c>
      <c r="D273" s="58" t="s">
        <v>150</v>
      </c>
      <c r="E273" s="1" t="s">
        <v>57</v>
      </c>
      <c r="F273" s="1" t="s">
        <v>58</v>
      </c>
      <c r="G273" s="1" t="s">
        <v>32</v>
      </c>
      <c r="H273" s="1">
        <v>6000</v>
      </c>
      <c r="I273" s="40">
        <f t="shared" si="104"/>
        <v>1260</v>
      </c>
      <c r="J273" s="1"/>
      <c r="K273" s="76"/>
      <c r="L273" s="19">
        <f t="array" ref="L273">IFERROR(INDEX('Strategy Watchlist'!L:L,MATCH($A273,'Strategy Watchlist'!$A:$A,0)),"Not Found")</f>
        <v>1.9664654594232058</v>
      </c>
      <c r="M273" s="19">
        <f t="array" ref="M273">IFERROR(INDEX('Strategy Watchlist'!M:M,MATCH($A273,'Strategy Watchlist'!$A:$A,0)),"Not Found")</f>
        <v>399</v>
      </c>
      <c r="N273" s="20">
        <f t="array" ref="N273">IFERROR(INDEX('Strategy Watchlist'!N:N,MATCH($A273,'Strategy Watchlist'!$A:$A,0)),"Not Found")</f>
        <v>45863</v>
      </c>
      <c r="O273" s="21"/>
      <c r="P273" s="21">
        <f t="array" ref="P273">IFERROR(INDEX('Strategy Watchlist'!Q:Q,MATCH($A273,'Strategy Watchlist'!$A:$A,0)),"Not Found")</f>
        <v>0.43</v>
      </c>
      <c r="Q273" s="21">
        <f t="array" ref="Q273">IFERROR(INDEX('Strategy Watchlist'!R:R,MATCH($A273,'Strategy Watchlist'!$A:$A,0)),"Not Found")</f>
        <v>1.0900000000000001</v>
      </c>
      <c r="R273" s="21">
        <f t="array" ref="R273">IFERROR(INDEX('Strategy Watchlist'!S:S,MATCH($A273,'Strategy Watchlist'!$A:$A,0)),"Not Found")</f>
        <v>7.72</v>
      </c>
      <c r="S273" s="21">
        <f t="array" ref="S273">IFERROR(INDEX('Strategy Watchlist'!T:T,MATCH($A273,'Strategy Watchlist'!$A:$A,0)),"Not Found")</f>
        <v>-3.19</v>
      </c>
      <c r="T273" s="21">
        <f t="array" ref="T273">IFERROR(INDEX('Strategy Watchlist'!U:U,MATCH($A273,'Strategy Watchlist'!$A:$A,0)),"Not Found")</f>
        <v>6.61</v>
      </c>
      <c r="U273" s="21">
        <f t="array" ref="U273">IFERROR(INDEX('Strategy Watchlist'!V:V,MATCH($A273,'Strategy Watchlist'!$A:$A,0)),"Not Found")</f>
        <v>-0.06</v>
      </c>
      <c r="V273" s="21">
        <f t="array" ref="V273">IFERROR(INDEX('Strategy Watchlist'!W:W,MATCH($A273,'Strategy Watchlist'!$A:$A,0)),"Not Found")</f>
        <v>1.53</v>
      </c>
      <c r="W273" s="21">
        <f t="array" ref="W273">IFERROR(INDEX('Strategy Watchlist'!X:X,MATCH($A273,'Strategy Watchlist'!$A:$A,0)),"Not Found")</f>
        <v>1.26</v>
      </c>
      <c r="X273" s="21">
        <f t="array" ref="X273">IFERROR(INDEX('Strategy Watchlist'!Y:Y,MATCH($A273,'Strategy Watchlist'!$A:$A,0)),"Not Found")</f>
        <v>7.1</v>
      </c>
      <c r="Y273" s="22" t="str">
        <f t="array" ref="Y273">IFERROR(INDEX('Strategy Watchlist'!Z:Z,MATCH($A273,'Strategy Watchlist'!$A:$A,0)),"Not Found")</f>
        <v>https://www.tradingview.com/chart/2vyQajE2/</v>
      </c>
      <c r="Z273" s="58"/>
      <c r="AA273" s="58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">
        <v>28</v>
      </c>
      <c r="AV273" s="1" t="s">
        <v>95</v>
      </c>
      <c r="AW273" s="1" t="s">
        <v>57</v>
      </c>
      <c r="AX273" s="1" t="s">
        <v>58</v>
      </c>
      <c r="AY273" s="18">
        <v>7.3204951856946359</v>
      </c>
      <c r="AZ273" s="4">
        <v>399</v>
      </c>
      <c r="BA273" s="1" t="s">
        <v>32</v>
      </c>
      <c r="BB273" s="76">
        <v>45863</v>
      </c>
      <c r="BC273" s="77">
        <v>-1.2</v>
      </c>
      <c r="BD273" s="77">
        <v>1.0900000000000001</v>
      </c>
      <c r="BE273" s="77">
        <v>7.72</v>
      </c>
      <c r="BF273" s="77">
        <v>-3.19</v>
      </c>
      <c r="BG273" s="77">
        <v>6.61</v>
      </c>
      <c r="BH273" s="77">
        <v>-0.06</v>
      </c>
      <c r="BI273" s="77">
        <v>1.53</v>
      </c>
      <c r="BJ273" s="77">
        <v>1.26</v>
      </c>
      <c r="BK273" s="77">
        <v>7.1</v>
      </c>
      <c r="BL273" s="1" t="s">
        <v>150</v>
      </c>
      <c r="BM273" s="1" t="s">
        <v>151</v>
      </c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</row>
    <row r="274" spans="1:119" ht="14.25" customHeight="1" x14ac:dyDescent="0.2">
      <c r="A274" s="17" t="str">
        <f t="shared" si="102"/>
        <v>|NEAR|Trendhoo|30m</v>
      </c>
      <c r="B274" s="1"/>
      <c r="C274" s="23">
        <f t="shared" si="103"/>
        <v>0.15</v>
      </c>
      <c r="D274" s="58"/>
      <c r="E274" s="1" t="s">
        <v>57</v>
      </c>
      <c r="F274" s="1" t="s">
        <v>67</v>
      </c>
      <c r="G274" s="1" t="s">
        <v>38</v>
      </c>
      <c r="H274" s="1">
        <v>6000</v>
      </c>
      <c r="I274" s="40">
        <f t="shared" si="104"/>
        <v>1260</v>
      </c>
      <c r="J274" s="1"/>
      <c r="K274" s="110"/>
      <c r="L274" s="19">
        <f t="array" ref="L274">IFERROR(INDEX('Strategy Watchlist'!L:L,MATCH($A274,'Strategy Watchlist'!$A:$A,0)),"Not Found")</f>
        <v>2.9833759590792837</v>
      </c>
      <c r="M274" s="19">
        <f t="array" ref="M274">IFERROR(INDEX('Strategy Watchlist'!M:M,MATCH($A274,'Strategy Watchlist'!$A:$A,0)),"Not Found")</f>
        <v>223</v>
      </c>
      <c r="N274" s="20">
        <f t="array" ref="N274">IFERROR(INDEX('Strategy Watchlist'!N:N,MATCH($A274,'Strategy Watchlist'!$A:$A,0)),"Not Found")</f>
        <v>45778</v>
      </c>
      <c r="O274" s="21"/>
      <c r="P274" s="21">
        <f t="array" ref="P274">IFERROR(INDEX('Strategy Watchlist'!Q:Q,MATCH($A274,'Strategy Watchlist'!$A:$A,0)),"Not Found")</f>
        <v>-0.13</v>
      </c>
      <c r="Q274" s="21">
        <f t="array" ref="Q274">IFERROR(INDEX('Strategy Watchlist'!R:R,MATCH($A274,'Strategy Watchlist'!$A:$A,0)),"Not Found")</f>
        <v>0.06</v>
      </c>
      <c r="R274" s="21">
        <f t="array" ref="R274">IFERROR(INDEX('Strategy Watchlist'!S:S,MATCH($A274,'Strategy Watchlist'!$A:$A,0)),"Not Found")</f>
        <v>-1.45</v>
      </c>
      <c r="S274" s="21">
        <f t="array" ref="S274">IFERROR(INDEX('Strategy Watchlist'!T:T,MATCH($A274,'Strategy Watchlist'!$A:$A,0)),"Not Found")</f>
        <v>2.2200000000000002</v>
      </c>
      <c r="T274" s="21">
        <f t="array" ref="T274">IFERROR(INDEX('Strategy Watchlist'!U:U,MATCH($A274,'Strategy Watchlist'!$A:$A,0)),"Not Found")</f>
        <v>-0.98</v>
      </c>
      <c r="U274" s="21">
        <f t="array" ref="U274">IFERROR(INDEX('Strategy Watchlist'!V:V,MATCH($A274,'Strategy Watchlist'!$A:$A,0)),"Not Found")</f>
        <v>1.82</v>
      </c>
      <c r="V274" s="21">
        <f t="array" ref="V274">IFERROR(INDEX('Strategy Watchlist'!W:W,MATCH($A274,'Strategy Watchlist'!$A:$A,0)),"Not Found")</f>
        <v>-0.31</v>
      </c>
      <c r="W274" s="21">
        <f t="array" ref="W274">IFERROR(INDEX('Strategy Watchlist'!X:X,MATCH($A274,'Strategy Watchlist'!$A:$A,0)),"Not Found")</f>
        <v>1.04</v>
      </c>
      <c r="X274" s="21">
        <f t="array" ref="X274">IFERROR(INDEX('Strategy Watchlist'!Y:Y,MATCH($A274,'Strategy Watchlist'!$A:$A,0)),"Not Found")</f>
        <v>4.2</v>
      </c>
      <c r="Y274" s="22" t="str">
        <f t="array" ref="Y274">IFERROR(INDEX('Strategy Watchlist'!Z:Z,MATCH($A274,'Strategy Watchlist'!$A:$A,0)),"Not Found")</f>
        <v>https://www.tradingview.com/chart/WiKMqTet/</v>
      </c>
      <c r="Z274" s="58"/>
      <c r="AA274" s="58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">
        <v>28</v>
      </c>
      <c r="AV274" s="1" t="s">
        <v>95</v>
      </c>
      <c r="AW274" s="1" t="s">
        <v>57</v>
      </c>
      <c r="AX274" s="1" t="s">
        <v>67</v>
      </c>
      <c r="AY274" s="18">
        <v>12.392857142857144</v>
      </c>
      <c r="AZ274" s="4">
        <v>226</v>
      </c>
      <c r="BA274" s="1" t="s">
        <v>38</v>
      </c>
      <c r="BB274" s="110">
        <v>45778</v>
      </c>
      <c r="BC274" s="77">
        <v>-1.0900000000000001</v>
      </c>
      <c r="BD274" s="77">
        <v>0.06</v>
      </c>
      <c r="BE274" s="77">
        <v>-1.45</v>
      </c>
      <c r="BF274" s="77">
        <v>2.2200000000000002</v>
      </c>
      <c r="BG274" s="77">
        <v>-0.98</v>
      </c>
      <c r="BH274" s="77">
        <v>1.82</v>
      </c>
      <c r="BI274" s="77">
        <v>-0.31</v>
      </c>
      <c r="BJ274" s="77">
        <v>1.04</v>
      </c>
      <c r="BK274" s="77">
        <v>4.2</v>
      </c>
      <c r="BL274" s="1"/>
      <c r="BM274" s="1" t="s">
        <v>152</v>
      </c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</row>
    <row r="275" spans="1:119" ht="14.25" customHeight="1" x14ac:dyDescent="0.2">
      <c r="A275" s="17" t="str">
        <f t="shared" si="102"/>
        <v>[3111f1fd]|NEAR|Stiff Surge|1H</v>
      </c>
      <c r="B275" s="1"/>
      <c r="C275" s="23">
        <f t="shared" si="103"/>
        <v>0.15</v>
      </c>
      <c r="D275" s="58" t="s">
        <v>56</v>
      </c>
      <c r="E275" s="1" t="s">
        <v>57</v>
      </c>
      <c r="F275" s="1" t="s">
        <v>58</v>
      </c>
      <c r="G275" s="1" t="s">
        <v>52</v>
      </c>
      <c r="H275" s="1">
        <v>6000</v>
      </c>
      <c r="I275" s="40">
        <f t="shared" si="104"/>
        <v>1260</v>
      </c>
      <c r="J275" s="1">
        <v>1700</v>
      </c>
      <c r="K275" s="1">
        <v>80</v>
      </c>
      <c r="L275" s="19">
        <f t="array" ref="L275">IFERROR(INDEX('Strategy Watchlist'!L:L,MATCH($A275,'Strategy Watchlist'!$A:$A,0)),"Not Found")</f>
        <v>3.1660516605166054</v>
      </c>
      <c r="M275" s="19">
        <f t="array" ref="M275">IFERROR(INDEX('Strategy Watchlist'!M:M,MATCH($A275,'Strategy Watchlist'!$A:$A,0)),"Not Found")</f>
        <v>237</v>
      </c>
      <c r="N275" s="20">
        <f t="array" ref="N275">IFERROR(INDEX('Strategy Watchlist'!N:N,MATCH($A275,'Strategy Watchlist'!$A:$A,0)),"Not Found")</f>
        <v>45717</v>
      </c>
      <c r="O275" s="21"/>
      <c r="P275" s="21">
        <f t="array" ref="P275">IFERROR(INDEX('Strategy Watchlist'!Q:Q,MATCH($A275,'Strategy Watchlist'!$A:$A,0)),"Not Found")</f>
        <v>0.56000000000000005</v>
      </c>
      <c r="Q275" s="21">
        <f t="array" ref="Q275">IFERROR(INDEX('Strategy Watchlist'!R:R,MATCH($A275,'Strategy Watchlist'!$A:$A,0)),"Not Found")</f>
        <v>-0.43</v>
      </c>
      <c r="R275" s="21">
        <f t="array" ref="R275">IFERROR(INDEX('Strategy Watchlist'!S:S,MATCH($A275,'Strategy Watchlist'!$A:$A,0)),"Not Found")</f>
        <v>-0.45</v>
      </c>
      <c r="S275" s="21">
        <f t="array" ref="S275">IFERROR(INDEX('Strategy Watchlist'!T:T,MATCH($A275,'Strategy Watchlist'!$A:$A,0)),"Not Found")</f>
        <v>4.99</v>
      </c>
      <c r="T275" s="21">
        <f t="array" ref="T275">IFERROR(INDEX('Strategy Watchlist'!U:U,MATCH($A275,'Strategy Watchlist'!$A:$A,0)),"Not Found")</f>
        <v>4.37</v>
      </c>
      <c r="U275" s="21">
        <f t="array" ref="U275">IFERROR(INDEX('Strategy Watchlist'!V:V,MATCH($A275,'Strategy Watchlist'!$A:$A,0)),"Not Found")</f>
        <v>-1.47</v>
      </c>
      <c r="V275" s="21">
        <f t="array" ref="V275">IFERROR(INDEX('Strategy Watchlist'!W:W,MATCH($A275,'Strategy Watchlist'!$A:$A,0)),"Not Found")</f>
        <v>1.85</v>
      </c>
      <c r="W275" s="21">
        <f t="array" ref="W275">IFERROR(INDEX('Strategy Watchlist'!X:X,MATCH($A275,'Strategy Watchlist'!$A:$A,0)),"Not Found")</f>
        <v>-0.11</v>
      </c>
      <c r="X275" s="21">
        <f t="array" ref="X275">IFERROR(INDEX('Strategy Watchlist'!Y:Y,MATCH($A275,'Strategy Watchlist'!$A:$A,0)),"Not Found")</f>
        <v>1.53</v>
      </c>
      <c r="Y275" s="22" t="str">
        <f t="array" ref="Y275">IFERROR(INDEX('Strategy Watchlist'!Z:Z,MATCH($A275,'Strategy Watchlist'!$A:$A,0)),"Not Found")</f>
        <v>https://www.tradingview.com/chart/Q9MeKvVC/</v>
      </c>
      <c r="Z275" s="58"/>
      <c r="AA275" s="58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 t="s">
        <v>28</v>
      </c>
      <c r="AV275" s="1" t="s">
        <v>95</v>
      </c>
      <c r="AW275" s="1" t="s">
        <v>57</v>
      </c>
      <c r="AX275" s="1" t="s">
        <v>58</v>
      </c>
      <c r="AY275" s="18">
        <v>14.335664335664335</v>
      </c>
      <c r="AZ275" s="4">
        <v>228</v>
      </c>
      <c r="BA275" s="1" t="s">
        <v>52</v>
      </c>
      <c r="BB275" s="110">
        <v>45717</v>
      </c>
      <c r="BC275" s="77">
        <v>1.5</v>
      </c>
      <c r="BD275" s="77">
        <v>-0.43</v>
      </c>
      <c r="BE275" s="77">
        <v>-0.45</v>
      </c>
      <c r="BF275" s="77">
        <v>4.99</v>
      </c>
      <c r="BG275" s="77">
        <v>4.37</v>
      </c>
      <c r="BH275" s="77">
        <v>-1.47</v>
      </c>
      <c r="BI275" s="77">
        <v>1.85</v>
      </c>
      <c r="BJ275" s="77">
        <v>-0.11</v>
      </c>
      <c r="BK275" s="77">
        <v>1.53</v>
      </c>
      <c r="BL275" s="1" t="s">
        <v>56</v>
      </c>
      <c r="BM275" s="1" t="s">
        <v>153</v>
      </c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</row>
    <row r="276" spans="1:119" ht="14.25" customHeight="1" x14ac:dyDescent="0.2">
      <c r="A276" s="17" t="str">
        <f t="shared" si="102"/>
        <v>[da58bf67]|NEAR|Trendhoo|30m</v>
      </c>
      <c r="B276" s="42"/>
      <c r="C276" s="23">
        <f t="shared" si="103"/>
        <v>0.15</v>
      </c>
      <c r="D276" s="21" t="s">
        <v>87</v>
      </c>
      <c r="E276" s="42" t="s">
        <v>57</v>
      </c>
      <c r="F276" s="17" t="s">
        <v>67</v>
      </c>
      <c r="G276" s="78" t="s">
        <v>38</v>
      </c>
      <c r="H276" s="1">
        <v>6000</v>
      </c>
      <c r="I276" s="40">
        <f t="shared" si="104"/>
        <v>1260</v>
      </c>
      <c r="J276" s="1">
        <v>1800</v>
      </c>
      <c r="K276" s="1">
        <v>80</v>
      </c>
      <c r="L276" s="19">
        <f t="array" ref="L276">IFERROR(INDEX('Strategy Watchlist'!L:L,MATCH($A276,'Strategy Watchlist'!$A:$A,0)),"Not Found")</f>
        <v>5.9785234899328854</v>
      </c>
      <c r="M276" s="19">
        <f t="array" ref="M276">IFERROR(INDEX('Strategy Watchlist'!M:M,MATCH($A276,'Strategy Watchlist'!$A:$A,0)),"Not Found")</f>
        <v>188</v>
      </c>
      <c r="N276" s="20">
        <f t="array" ref="N276">IFERROR(INDEX('Strategy Watchlist'!N:N,MATCH($A276,'Strategy Watchlist'!$A:$A,0)),"Not Found")</f>
        <v>45802</v>
      </c>
      <c r="O276" s="21"/>
      <c r="P276" s="21">
        <f t="array" ref="P276">IFERROR(INDEX('Strategy Watchlist'!Q:Q,MATCH($A276,'Strategy Watchlist'!$A:$A,0)),"Not Found")</f>
        <v>0</v>
      </c>
      <c r="Q276" s="21">
        <f t="array" ref="Q276">IFERROR(INDEX('Strategy Watchlist'!R:R,MATCH($A276,'Strategy Watchlist'!$A:$A,0)),"Not Found")</f>
        <v>4.76</v>
      </c>
      <c r="R276" s="21">
        <f t="array" ref="R276">IFERROR(INDEX('Strategy Watchlist'!S:S,MATCH($A276,'Strategy Watchlist'!$A:$A,0)),"Not Found")</f>
        <v>1.93</v>
      </c>
      <c r="S276" s="21">
        <f t="array" ref="S276">IFERROR(INDEX('Strategy Watchlist'!T:T,MATCH($A276,'Strategy Watchlist'!$A:$A,0)),"Not Found")</f>
        <v>1.34</v>
      </c>
      <c r="T276" s="21">
        <f t="array" ref="T276">IFERROR(INDEX('Strategy Watchlist'!U:U,MATCH($A276,'Strategy Watchlist'!$A:$A,0)),"Not Found")</f>
        <v>2.2999999999999998</v>
      </c>
      <c r="U276" s="21">
        <f t="array" ref="U276">IFERROR(INDEX('Strategy Watchlist'!V:V,MATCH($A276,'Strategy Watchlist'!$A:$A,0)),"Not Found")</f>
        <v>0.08</v>
      </c>
      <c r="V276" s="21">
        <f t="array" ref="V276">IFERROR(INDEX('Strategy Watchlist'!W:W,MATCH($A276,'Strategy Watchlist'!$A:$A,0)),"Not Found")</f>
        <v>1.26</v>
      </c>
      <c r="W276" s="21">
        <f t="array" ref="W276">IFERROR(INDEX('Strategy Watchlist'!X:X,MATCH($A276,'Strategy Watchlist'!$A:$A,0)),"Not Found")</f>
        <v>1.01</v>
      </c>
      <c r="X276" s="21">
        <f t="array" ref="X276">IFERROR(INDEX('Strategy Watchlist'!Y:Y,MATCH($A276,'Strategy Watchlist'!$A:$A,0)),"Not Found")</f>
        <v>5.82</v>
      </c>
      <c r="Y276" s="22" t="str">
        <f t="array" ref="Y276">IFERROR(INDEX('Strategy Watchlist'!Z:Z,MATCH($A276,'Strategy Watchlist'!$A:$A,0)),"Not Found")</f>
        <v>https://www.tradingview.com/chart/CsNPJ40O/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 t="s">
        <v>62</v>
      </c>
      <c r="AV276" s="42"/>
      <c r="AW276" s="42" t="s">
        <v>57</v>
      </c>
      <c r="AX276" s="17" t="s">
        <v>67</v>
      </c>
      <c r="AY276" s="95">
        <f>44.54/7.45</f>
        <v>5.9785234899328854</v>
      </c>
      <c r="AZ276" s="96">
        <v>188</v>
      </c>
      <c r="BA276" s="78" t="s">
        <v>38</v>
      </c>
      <c r="BB276" s="81">
        <v>45802</v>
      </c>
      <c r="BC276" s="21">
        <v>-0.16</v>
      </c>
      <c r="BD276" s="21">
        <v>4.76</v>
      </c>
      <c r="BE276" s="21">
        <v>1.93</v>
      </c>
      <c r="BF276" s="21">
        <v>1.34</v>
      </c>
      <c r="BG276" s="21">
        <v>2.2999999999999998</v>
      </c>
      <c r="BH276" s="21">
        <v>0.08</v>
      </c>
      <c r="BI276" s="21">
        <v>1.26</v>
      </c>
      <c r="BJ276" s="21">
        <v>1.01</v>
      </c>
      <c r="BK276" s="21">
        <v>5.82</v>
      </c>
      <c r="BL276" s="21" t="s">
        <v>87</v>
      </c>
      <c r="BM276" s="47" t="s">
        <v>88</v>
      </c>
      <c r="BN276" s="42"/>
      <c r="BO276" s="42"/>
      <c r="BP276" s="42"/>
      <c r="BQ276" s="42"/>
      <c r="BR276" s="42"/>
      <c r="BS276" s="42"/>
      <c r="BT276" s="42"/>
      <c r="BU276" s="42"/>
      <c r="BV276" s="42"/>
      <c r="BW276" s="42"/>
      <c r="BX276" s="42"/>
      <c r="BY276" s="42"/>
      <c r="BZ276" s="42"/>
      <c r="CA276" s="42"/>
      <c r="CB276" s="42"/>
      <c r="CC276" s="42"/>
      <c r="CD276" s="42"/>
      <c r="CE276" s="42"/>
      <c r="CF276" s="42"/>
      <c r="CG276" s="42"/>
      <c r="CH276" s="42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</row>
    <row r="277" spans="1:119" ht="14.25" customHeight="1" x14ac:dyDescent="0.2">
      <c r="A277" s="17" t="str">
        <f t="shared" si="102"/>
        <v>[04ea3071]|BTC|AI vs Ninja Turtle|76min</v>
      </c>
      <c r="C277" s="23">
        <f t="shared" si="103"/>
        <v>0.25</v>
      </c>
      <c r="D277" s="78" t="s">
        <v>72</v>
      </c>
      <c r="E277" s="78" t="s">
        <v>73</v>
      </c>
      <c r="F277" s="78" t="s">
        <v>74</v>
      </c>
      <c r="G277" s="78" t="s">
        <v>75</v>
      </c>
      <c r="H277" s="1">
        <v>10000</v>
      </c>
      <c r="I277" s="40">
        <f t="shared" si="104"/>
        <v>2100</v>
      </c>
      <c r="J277" s="1">
        <v>4500</v>
      </c>
      <c r="K277" s="1">
        <v>130</v>
      </c>
      <c r="L277" s="19">
        <f t="array" ref="L277">IFERROR(INDEX('Strategy Watchlist'!L:L,MATCH($A277,'Strategy Watchlist'!$A:$A,0)),"Not Found")</f>
        <v>8.5935334872979219</v>
      </c>
      <c r="M277" s="19">
        <f t="array" ref="M277">IFERROR(INDEX('Strategy Watchlist'!M:M,MATCH($A277,'Strategy Watchlist'!$A:$A,0)),"Not Found")</f>
        <v>78</v>
      </c>
      <c r="N277" s="20">
        <f t="array" ref="N277">IFERROR(INDEX('Strategy Watchlist'!N:N,MATCH($A277,'Strategy Watchlist'!$A:$A,0)),"Not Found")</f>
        <v>45682</v>
      </c>
      <c r="O277" s="21"/>
      <c r="P277" s="21">
        <f t="array" ref="P277">IFERROR(INDEX('Strategy Watchlist'!Q:Q,MATCH($A277,'Strategy Watchlist'!$A:$A,0)),"Not Found")</f>
        <v>2.78</v>
      </c>
      <c r="Q277" s="21">
        <f t="array" ref="Q277">IFERROR(INDEX('Strategy Watchlist'!R:R,MATCH($A277,'Strategy Watchlist'!$A:$A,0)),"Not Found")</f>
        <v>-0.22</v>
      </c>
      <c r="R277" s="21">
        <f t="array" ref="R277">IFERROR(INDEX('Strategy Watchlist'!S:S,MATCH($A277,'Strategy Watchlist'!$A:$A,0)),"Not Found")</f>
        <v>2.83</v>
      </c>
      <c r="S277" s="21">
        <f t="array" ref="S277">IFERROR(INDEX('Strategy Watchlist'!T:T,MATCH($A277,'Strategy Watchlist'!$A:$A,0)),"Not Found")</f>
        <v>-1.36</v>
      </c>
      <c r="T277" s="21">
        <f t="array" ref="T277">IFERROR(INDEX('Strategy Watchlist'!U:U,MATCH($A277,'Strategy Watchlist'!$A:$A,0)),"Not Found")</f>
        <v>3.58</v>
      </c>
      <c r="U277" s="21">
        <f t="array" ref="U277">IFERROR(INDEX('Strategy Watchlist'!V:V,MATCH($A277,'Strategy Watchlist'!$A:$A,0)),"Not Found")</f>
        <v>-0.43</v>
      </c>
      <c r="V277" s="21">
        <f t="array" ref="V277">IFERROR(INDEX('Strategy Watchlist'!W:W,MATCH($A277,'Strategy Watchlist'!$A:$A,0)),"Not Found")</f>
        <v>1.1299999999999999</v>
      </c>
      <c r="W277" s="21">
        <f t="array" ref="W277">IFERROR(INDEX('Strategy Watchlist'!X:X,MATCH($A277,'Strategy Watchlist'!$A:$A,0)),"Not Found")</f>
        <v>1.58</v>
      </c>
      <c r="X277" s="21">
        <f t="array" ref="X277">IFERROR(INDEX('Strategy Watchlist'!Y:Y,MATCH($A277,'Strategy Watchlist'!$A:$A,0)),"Not Found")</f>
        <v>3.31</v>
      </c>
      <c r="Y277" s="22" t="str">
        <f t="array" ref="Y277">IFERROR(INDEX('Strategy Watchlist'!Z:Z,MATCH($A277,'Strategy Watchlist'!$A:$A,0)),"Not Found")</f>
        <v>https://www.tradingview.com/chart/cMDH182g/</v>
      </c>
      <c r="AU277" s="78" t="s">
        <v>62</v>
      </c>
      <c r="AW277" s="78" t="s">
        <v>73</v>
      </c>
      <c r="AX277" s="78" t="s">
        <v>74</v>
      </c>
      <c r="AY277" s="95">
        <f>37.21/4.33</f>
        <v>8.5935334872979219</v>
      </c>
      <c r="AZ277" s="96">
        <v>78</v>
      </c>
      <c r="BA277" s="78" t="s">
        <v>75</v>
      </c>
      <c r="BB277" s="76">
        <v>45682</v>
      </c>
      <c r="BC277" s="3">
        <v>0.99</v>
      </c>
      <c r="BD277" s="3">
        <v>-0.22</v>
      </c>
      <c r="BE277" s="3">
        <v>2.83</v>
      </c>
      <c r="BF277" s="3">
        <v>-1.36</v>
      </c>
      <c r="BG277" s="3">
        <v>3.58</v>
      </c>
      <c r="BH277" s="3">
        <v>-0.43</v>
      </c>
      <c r="BI277" s="3">
        <v>1.1299999999999999</v>
      </c>
      <c r="BJ277" s="3">
        <v>1.58</v>
      </c>
      <c r="BK277" s="3">
        <v>3.31</v>
      </c>
      <c r="BL277" s="78" t="s">
        <v>72</v>
      </c>
      <c r="BM277" s="106" t="s">
        <v>76</v>
      </c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</row>
    <row r="278" spans="1:119" ht="14.25" customHeight="1" x14ac:dyDescent="0.2">
      <c r="A278" s="17" t="str">
        <f t="shared" si="102"/>
        <v>18.02.2025|VET|FMVA|1H</v>
      </c>
      <c r="C278" s="23">
        <f t="shared" si="103"/>
        <v>0.15</v>
      </c>
      <c r="D278" s="78" t="s">
        <v>154</v>
      </c>
      <c r="E278" s="78" t="s">
        <v>155</v>
      </c>
      <c r="F278" s="78" t="s">
        <v>156</v>
      </c>
      <c r="G278" s="78" t="s">
        <v>52</v>
      </c>
      <c r="H278" s="1">
        <v>6000</v>
      </c>
      <c r="I278" s="40">
        <f t="shared" si="104"/>
        <v>1260</v>
      </c>
      <c r="J278" s="1">
        <v>2800</v>
      </c>
      <c r="K278" s="1">
        <v>80</v>
      </c>
      <c r="L278" s="19">
        <f t="array" ref="L278">IFERROR(INDEX('Strategy Watchlist'!L:L,MATCH($A278,'Strategy Watchlist'!$A:$A,0)),"Not Found")</f>
        <v>3.0681818181818183</v>
      </c>
      <c r="M278" s="19">
        <f t="array" ref="M278">IFERROR(INDEX('Strategy Watchlist'!M:M,MATCH($A278,'Strategy Watchlist'!$A:$A,0)),"Not Found")</f>
        <v>81</v>
      </c>
      <c r="N278" s="20">
        <f t="array" ref="N278">IFERROR(INDEX('Strategy Watchlist'!N:N,MATCH($A278,'Strategy Watchlist'!$A:$A,0)),"Not Found")</f>
        <v>45772</v>
      </c>
      <c r="O278" s="21"/>
      <c r="P278" s="21">
        <f t="array" ref="P278">IFERROR(INDEX('Strategy Watchlist'!Q:Q,MATCH($A278,'Strategy Watchlist'!$A:$A,0)),"Not Found")</f>
        <v>-0.97</v>
      </c>
      <c r="Q278" s="21">
        <f t="array" ref="Q278">IFERROR(INDEX('Strategy Watchlist'!R:R,MATCH($A278,'Strategy Watchlist'!$A:$A,0)),"Not Found")</f>
        <v>1.25</v>
      </c>
      <c r="R278" s="21">
        <f t="array" ref="R278">IFERROR(INDEX('Strategy Watchlist'!S:S,MATCH($A278,'Strategy Watchlist'!$A:$A,0)),"Not Found")</f>
        <v>1.44</v>
      </c>
      <c r="S278" s="21">
        <f t="array" ref="S278">IFERROR(INDEX('Strategy Watchlist'!T:T,MATCH($A278,'Strategy Watchlist'!$A:$A,0)),"Not Found")</f>
        <v>1.4</v>
      </c>
      <c r="T278" s="21">
        <f t="array" ref="T278">IFERROR(INDEX('Strategy Watchlist'!U:U,MATCH($A278,'Strategy Watchlist'!$A:$A,0)),"Not Found")</f>
        <v>4.12</v>
      </c>
      <c r="U278" s="21">
        <f t="array" ref="U278">IFERROR(INDEX('Strategy Watchlist'!V:V,MATCH($A278,'Strategy Watchlist'!$A:$A,0)),"Not Found")</f>
        <v>-0.54</v>
      </c>
      <c r="V278" s="21">
        <f t="array" ref="V278">IFERROR(INDEX('Strategy Watchlist'!W:W,MATCH($A278,'Strategy Watchlist'!$A:$A,0)),"Not Found")</f>
        <v>0.62</v>
      </c>
      <c r="W278" s="21">
        <f t="array" ref="W278">IFERROR(INDEX('Strategy Watchlist'!X:X,MATCH($A278,'Strategy Watchlist'!$A:$A,0)),"Not Found")</f>
        <v>-1.49</v>
      </c>
      <c r="X278" s="21">
        <f t="array" ref="X278">IFERROR(INDEX('Strategy Watchlist'!Y:Y,MATCH($A278,'Strategy Watchlist'!$A:$A,0)),"Not Found")</f>
        <v>-3.15</v>
      </c>
      <c r="Y278" s="22">
        <f t="array" ref="Y278">IFERROR(INDEX('Strategy Watchlist'!Z:Z,MATCH($A278,'Strategy Watchlist'!$A:$A,0)),"Not Found")</f>
        <v>0</v>
      </c>
      <c r="AU278" s="78" t="s">
        <v>62</v>
      </c>
      <c r="AW278" s="78" t="s">
        <v>155</v>
      </c>
      <c r="AX278" s="78" t="s">
        <v>156</v>
      </c>
      <c r="AY278" s="95">
        <f>19.28/5.72</f>
        <v>3.3706293706293708</v>
      </c>
      <c r="AZ278" s="96">
        <v>81</v>
      </c>
      <c r="BA278" s="78" t="s">
        <v>52</v>
      </c>
      <c r="BB278" s="76">
        <v>45772</v>
      </c>
      <c r="BC278" s="3">
        <v>0.87</v>
      </c>
      <c r="BD278" s="3">
        <v>1.25</v>
      </c>
      <c r="BE278" s="3">
        <v>1.44</v>
      </c>
      <c r="BF278" s="3">
        <v>1.4</v>
      </c>
      <c r="BG278" s="3">
        <v>4.12</v>
      </c>
      <c r="BH278" s="3">
        <v>-0.54</v>
      </c>
      <c r="BI278" s="3">
        <v>0.62</v>
      </c>
      <c r="BJ278" s="3">
        <v>-1.49</v>
      </c>
      <c r="BK278" s="3">
        <v>-3.15</v>
      </c>
      <c r="BL278" s="78" t="s">
        <v>154</v>
      </c>
      <c r="BM278" s="106" t="s">
        <v>157</v>
      </c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</row>
    <row r="279" spans="1:119" ht="14.25" customHeight="1" x14ac:dyDescent="0.2">
      <c r="A279" s="39" t="str">
        <f t="shared" si="102"/>
        <v>[04ea3071]|BTC|AI vs Ninja Turtle|76min</v>
      </c>
      <c r="B279" s="42" t="s">
        <v>28</v>
      </c>
      <c r="C279" s="23">
        <f t="shared" si="103"/>
        <v>0.3</v>
      </c>
      <c r="D279" s="42" t="s">
        <v>72</v>
      </c>
      <c r="E279" s="42" t="s">
        <v>73</v>
      </c>
      <c r="F279" s="42" t="s">
        <v>74</v>
      </c>
      <c r="G279" s="42" t="s">
        <v>75</v>
      </c>
      <c r="H279" s="17">
        <v>12000</v>
      </c>
      <c r="I279" s="40">
        <f t="shared" si="104"/>
        <v>2520</v>
      </c>
      <c r="J279" s="24">
        <v>3400</v>
      </c>
      <c r="K279" s="17">
        <v>100</v>
      </c>
      <c r="L279" s="19">
        <f>37.21/4.33</f>
        <v>8.5935334872979219</v>
      </c>
      <c r="M279" s="46">
        <v>78</v>
      </c>
      <c r="N279" s="45">
        <v>45682</v>
      </c>
      <c r="O279" s="21"/>
      <c r="P279" s="21">
        <v>0.99</v>
      </c>
      <c r="Q279" s="21">
        <v>-0.22</v>
      </c>
      <c r="R279" s="21">
        <v>2.83</v>
      </c>
      <c r="S279" s="21">
        <v>-1.36</v>
      </c>
      <c r="T279" s="21">
        <v>3.58</v>
      </c>
      <c r="U279" s="21">
        <v>-0.43</v>
      </c>
      <c r="V279" s="21">
        <v>1.1299999999999999</v>
      </c>
      <c r="W279" s="21">
        <v>1.58</v>
      </c>
      <c r="X279" s="21">
        <v>3.31</v>
      </c>
      <c r="Y279" s="47" t="s">
        <v>76</v>
      </c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39" t="str">
        <f>AX279&amp;"|"&amp;AY279&amp;"|"&amp;AZ279&amp;"|"&amp;BA279</f>
        <v>[04ea3071]|BTC|AI vs Ninja Turtle|76min</v>
      </c>
      <c r="AV279" s="42" t="s">
        <v>28</v>
      </c>
      <c r="AW279" s="17">
        <f>BB279/50000</f>
        <v>0.24</v>
      </c>
      <c r="AX279" s="42" t="s">
        <v>72</v>
      </c>
      <c r="AY279" s="42" t="s">
        <v>73</v>
      </c>
      <c r="AZ279" s="42" t="s">
        <v>74</v>
      </c>
      <c r="BA279" s="42" t="s">
        <v>75</v>
      </c>
      <c r="BB279" s="17">
        <v>12000</v>
      </c>
      <c r="BC279" s="40">
        <f>BB279*0.21</f>
        <v>2520</v>
      </c>
      <c r="BD279" s="24">
        <v>3400</v>
      </c>
      <c r="BE279" s="17">
        <v>100</v>
      </c>
      <c r="BF279" s="19">
        <f>37.21/4.33</f>
        <v>8.5935334872979219</v>
      </c>
      <c r="BG279" s="46">
        <v>78</v>
      </c>
      <c r="BH279" s="45">
        <v>45682</v>
      </c>
      <c r="BI279" s="21">
        <v>0.99</v>
      </c>
      <c r="BJ279" s="21">
        <v>-0.22</v>
      </c>
      <c r="BK279" s="21">
        <v>2.83</v>
      </c>
      <c r="BL279" s="21">
        <v>-1.36</v>
      </c>
      <c r="BM279" s="21">
        <v>3.58</v>
      </c>
      <c r="BN279" s="21">
        <v>-0.43</v>
      </c>
      <c r="BO279" s="21">
        <v>1.1299999999999999</v>
      </c>
      <c r="BP279" s="21">
        <v>1.58</v>
      </c>
      <c r="BQ279" s="21">
        <v>3.31</v>
      </c>
      <c r="BR279" s="47" t="s">
        <v>76</v>
      </c>
      <c r="BS279" s="42"/>
      <c r="BT279" s="42"/>
      <c r="BU279" s="42"/>
      <c r="BV279" s="42"/>
      <c r="BW279" s="42"/>
      <c r="BX279" s="42"/>
      <c r="BY279" s="42"/>
      <c r="BZ279" s="42"/>
      <c r="CA279" s="42"/>
      <c r="CB279" s="42"/>
      <c r="CC279" s="42"/>
      <c r="CD279" s="42"/>
      <c r="CE279" s="42"/>
      <c r="CF279" s="42"/>
      <c r="CG279" s="42"/>
      <c r="CH279" s="42"/>
      <c r="CI279" s="42"/>
      <c r="CJ279" s="42"/>
      <c r="CK279" s="42"/>
      <c r="CL279" s="42"/>
      <c r="CM279" s="42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</row>
    <row r="280" spans="1:119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1"/>
      <c r="L280" s="18"/>
      <c r="M280" s="4"/>
      <c r="N280" s="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</row>
    <row r="281" spans="1:119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1"/>
      <c r="L281" s="18"/>
      <c r="M281" s="4"/>
      <c r="N281" s="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</row>
    <row r="282" spans="1:119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1"/>
      <c r="L282" s="18"/>
      <c r="M282" s="4"/>
      <c r="N282" s="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</row>
    <row r="283" spans="1:119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1"/>
      <c r="L283" s="18"/>
      <c r="M283" s="4"/>
      <c r="N283" s="1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</row>
    <row r="284" spans="1:119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1"/>
      <c r="L284" s="18"/>
      <c r="M284" s="4"/>
      <c r="N284" s="1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</row>
    <row r="285" spans="1:119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1"/>
      <c r="L285" s="18"/>
      <c r="M285" s="4"/>
      <c r="N285" s="1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</row>
    <row r="286" spans="1:119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1"/>
      <c r="L286" s="18"/>
      <c r="M286" s="4"/>
      <c r="N286" s="1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</row>
    <row r="287" spans="1:119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1"/>
      <c r="L287" s="18"/>
      <c r="M287" s="4"/>
      <c r="N287" s="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</row>
    <row r="288" spans="1:119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1"/>
      <c r="L288" s="18"/>
      <c r="M288" s="4"/>
      <c r="N288" s="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</row>
    <row r="289" spans="1:119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1"/>
      <c r="L289" s="18"/>
      <c r="M289" s="4"/>
      <c r="N289" s="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</row>
    <row r="290" spans="1:119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1"/>
      <c r="L290" s="18"/>
      <c r="M290" s="4"/>
      <c r="N290" s="1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</row>
    <row r="291" spans="1:119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1"/>
      <c r="L291" s="18"/>
      <c r="M291" s="4"/>
      <c r="N291" s="1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</row>
    <row r="292" spans="1:119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1"/>
      <c r="L292" s="18"/>
      <c r="M292" s="4"/>
      <c r="N292" s="1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</row>
    <row r="293" spans="1:119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1"/>
      <c r="L293" s="18"/>
      <c r="M293" s="4"/>
      <c r="N293" s="1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</row>
    <row r="294" spans="1:119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1"/>
      <c r="L294" s="18"/>
      <c r="M294" s="4"/>
      <c r="N294" s="1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</row>
    <row r="295" spans="1:119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1"/>
      <c r="L295" s="18"/>
      <c r="M295" s="4"/>
      <c r="N295" s="1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</row>
    <row r="296" spans="1:119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1"/>
      <c r="L296" s="18"/>
      <c r="M296" s="4"/>
      <c r="N296" s="1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</row>
    <row r="297" spans="1:119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1"/>
      <c r="L297" s="18"/>
      <c r="M297" s="4"/>
      <c r="N297" s="1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</row>
    <row r="298" spans="1:119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1"/>
      <c r="L298" s="18"/>
      <c r="M298" s="4"/>
      <c r="N298" s="1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</row>
    <row r="299" spans="1:119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1"/>
      <c r="L299" s="18"/>
      <c r="M299" s="4"/>
      <c r="N299" s="1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</row>
    <row r="300" spans="1:119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1"/>
      <c r="L300" s="18"/>
      <c r="M300" s="4"/>
      <c r="N300" s="1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</row>
    <row r="301" spans="1:119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1"/>
      <c r="L301" s="18"/>
      <c r="M301" s="4"/>
      <c r="N301" s="1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</row>
    <row r="302" spans="1:119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1"/>
      <c r="L302" s="18"/>
      <c r="M302" s="4"/>
      <c r="N302" s="1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</row>
    <row r="303" spans="1:119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1"/>
      <c r="L303" s="18"/>
      <c r="M303" s="4"/>
      <c r="N303" s="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</row>
    <row r="304" spans="1:119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1"/>
      <c r="L304" s="18"/>
      <c r="M304" s="4"/>
      <c r="N304" s="1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</row>
    <row r="305" spans="1:119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1"/>
      <c r="L305" s="18"/>
      <c r="M305" s="4"/>
      <c r="N305" s="1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</row>
    <row r="306" spans="1:119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1"/>
      <c r="L306" s="18"/>
      <c r="M306" s="4"/>
      <c r="N306" s="1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</row>
    <row r="307" spans="1:119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1"/>
      <c r="L307" s="18"/>
      <c r="M307" s="4"/>
      <c r="N307" s="1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</row>
    <row r="308" spans="1:119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1"/>
      <c r="L308" s="18"/>
      <c r="M308" s="4"/>
      <c r="N308" s="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</row>
    <row r="309" spans="1:119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1"/>
      <c r="L309" s="18"/>
      <c r="M309" s="4"/>
      <c r="N309" s="1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</row>
    <row r="310" spans="1:119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1"/>
      <c r="L310" s="18"/>
      <c r="M310" s="4"/>
      <c r="N310" s="1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</row>
    <row r="311" spans="1:119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1"/>
      <c r="L311" s="18"/>
      <c r="M311" s="4"/>
      <c r="N311" s="1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</row>
    <row r="312" spans="1:119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8"/>
      <c r="M312" s="4"/>
      <c r="N312" s="1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</row>
    <row r="313" spans="1:119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1"/>
      <c r="L313" s="18"/>
      <c r="M313" s="4"/>
      <c r="N313" s="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</row>
    <row r="314" spans="1:119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1"/>
      <c r="L314" s="18"/>
      <c r="M314" s="4"/>
      <c r="N314" s="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</row>
    <row r="315" spans="1:119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1"/>
      <c r="L315" s="18"/>
      <c r="M315" s="4"/>
      <c r="N315" s="1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</row>
    <row r="316" spans="1:119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8"/>
      <c r="M316" s="4"/>
      <c r="N316" s="1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</row>
    <row r="317" spans="1:119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1"/>
      <c r="L317" s="18"/>
      <c r="M317" s="4"/>
      <c r="N317" s="1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</row>
    <row r="318" spans="1:119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1"/>
      <c r="L318" s="18"/>
      <c r="M318" s="4"/>
      <c r="N318" s="1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</row>
    <row r="319" spans="1:119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1"/>
      <c r="L319" s="18"/>
      <c r="M319" s="4"/>
      <c r="N319" s="1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</row>
    <row r="320" spans="1:119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1"/>
      <c r="L320" s="18"/>
      <c r="M320" s="4"/>
      <c r="N320" s="1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</row>
    <row r="321" spans="1:119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1"/>
      <c r="L321" s="18"/>
      <c r="M321" s="4"/>
      <c r="N321" s="1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</row>
    <row r="322" spans="1:119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1"/>
      <c r="L322" s="18"/>
      <c r="M322" s="4"/>
      <c r="N322" s="1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</row>
    <row r="323" spans="1:119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1"/>
      <c r="L323" s="18"/>
      <c r="M323" s="4"/>
      <c r="N323" s="1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</row>
    <row r="324" spans="1:119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1"/>
      <c r="L324" s="18"/>
      <c r="M324" s="4"/>
      <c r="N324" s="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</row>
    <row r="325" spans="1:119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1"/>
      <c r="L325" s="18"/>
      <c r="M325" s="4"/>
      <c r="N325" s="1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</row>
    <row r="326" spans="1:119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1"/>
      <c r="L326" s="18"/>
      <c r="M326" s="4"/>
      <c r="N326" s="1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</row>
    <row r="327" spans="1:119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1"/>
      <c r="L327" s="18"/>
      <c r="M327" s="4"/>
      <c r="N327" s="1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</row>
    <row r="328" spans="1:119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1"/>
      <c r="L328" s="18"/>
      <c r="M328" s="4"/>
      <c r="N328" s="1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</row>
    <row r="329" spans="1:119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1"/>
      <c r="L329" s="18"/>
      <c r="M329" s="4"/>
      <c r="N329" s="1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</row>
    <row r="330" spans="1:119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1"/>
      <c r="L330" s="18"/>
      <c r="M330" s="4"/>
      <c r="N330" s="1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</row>
    <row r="331" spans="1:119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1"/>
      <c r="L331" s="18"/>
      <c r="M331" s="4"/>
      <c r="N331" s="1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</row>
    <row r="332" spans="1:119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1"/>
      <c r="L332" s="18"/>
      <c r="M332" s="4"/>
      <c r="N332" s="1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</row>
    <row r="333" spans="1:119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1"/>
      <c r="L333" s="18"/>
      <c r="M333" s="4"/>
      <c r="N333" s="1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</row>
    <row r="334" spans="1:119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1"/>
      <c r="L334" s="18"/>
      <c r="M334" s="4"/>
      <c r="N334" s="1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</row>
    <row r="335" spans="1:119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1"/>
      <c r="L335" s="18"/>
      <c r="M335" s="4"/>
      <c r="N335" s="1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</row>
    <row r="336" spans="1:119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1"/>
      <c r="L336" s="18"/>
      <c r="M336" s="4"/>
      <c r="N336" s="1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</row>
    <row r="337" spans="1:119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1"/>
      <c r="L337" s="18"/>
      <c r="M337" s="4"/>
      <c r="N337" s="1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</row>
    <row r="338" spans="1:119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1"/>
      <c r="L338" s="18"/>
      <c r="M338" s="4"/>
      <c r="N338" s="1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</row>
    <row r="339" spans="1:119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1"/>
      <c r="L339" s="18"/>
      <c r="M339" s="4"/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</row>
    <row r="340" spans="1:119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1"/>
      <c r="L340" s="18"/>
      <c r="M340" s="4"/>
      <c r="N340" s="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</row>
    <row r="341" spans="1:119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1"/>
      <c r="L341" s="18"/>
      <c r="M341" s="4"/>
      <c r="N341" s="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</row>
    <row r="342" spans="1:119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1"/>
      <c r="L342" s="18"/>
      <c r="M342" s="4"/>
      <c r="N342" s="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</row>
    <row r="343" spans="1:119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1"/>
      <c r="L343" s="18"/>
      <c r="M343" s="4"/>
      <c r="N343" s="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</row>
    <row r="344" spans="1:119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1"/>
      <c r="L344" s="18"/>
      <c r="M344" s="4"/>
      <c r="N344" s="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</row>
    <row r="345" spans="1:119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1"/>
      <c r="L345" s="18"/>
      <c r="M345" s="4"/>
      <c r="N345" s="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</row>
    <row r="346" spans="1:119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1"/>
      <c r="L346" s="18"/>
      <c r="M346" s="4"/>
      <c r="N346" s="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</row>
    <row r="347" spans="1:119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1"/>
      <c r="L347" s="18"/>
      <c r="M347" s="4"/>
      <c r="N347" s="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</row>
    <row r="348" spans="1:119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1"/>
      <c r="L348" s="18"/>
      <c r="M348" s="4"/>
      <c r="N348" s="1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</row>
    <row r="349" spans="1:119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1"/>
      <c r="L349" s="18"/>
      <c r="M349" s="4"/>
      <c r="N349" s="1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</row>
    <row r="350" spans="1:119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1"/>
      <c r="L350" s="18"/>
      <c r="M350" s="4"/>
      <c r="N350" s="1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</row>
    <row r="351" spans="1:119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1"/>
      <c r="L351" s="18"/>
      <c r="M351" s="4"/>
      <c r="N351" s="1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</row>
    <row r="352" spans="1:119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1"/>
      <c r="L352" s="18"/>
      <c r="M352" s="4"/>
      <c r="N352" s="1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</row>
    <row r="353" spans="1:119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1"/>
      <c r="L353" s="18"/>
      <c r="M353" s="4"/>
      <c r="N353" s="1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</row>
    <row r="354" spans="1:119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1"/>
      <c r="L354" s="18"/>
      <c r="M354" s="4"/>
      <c r="N354" s="1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</row>
    <row r="355" spans="1:119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1"/>
      <c r="L355" s="18"/>
      <c r="M355" s="4"/>
      <c r="N355" s="1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</row>
    <row r="356" spans="1:119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1"/>
      <c r="L356" s="18"/>
      <c r="M356" s="4"/>
      <c r="N356" s="1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</row>
    <row r="357" spans="1:119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1"/>
      <c r="L357" s="18"/>
      <c r="M357" s="4"/>
      <c r="N357" s="1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</row>
    <row r="358" spans="1:119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1"/>
      <c r="L358" s="18"/>
      <c r="M358" s="4"/>
      <c r="N358" s="1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</row>
    <row r="359" spans="1:119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1"/>
      <c r="L359" s="18"/>
      <c r="M359" s="4"/>
      <c r="N359" s="1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</row>
    <row r="360" spans="1:119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1"/>
      <c r="L360" s="18"/>
      <c r="M360" s="4"/>
      <c r="N360" s="1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</row>
    <row r="361" spans="1:119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1"/>
      <c r="L361" s="18"/>
      <c r="M361" s="4"/>
      <c r="N361" s="1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</row>
    <row r="362" spans="1:119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1"/>
      <c r="L362" s="18"/>
      <c r="M362" s="4"/>
      <c r="N362" s="1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</row>
    <row r="363" spans="1:119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1"/>
      <c r="L363" s="18"/>
      <c r="M363" s="4"/>
      <c r="N363" s="1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</row>
    <row r="364" spans="1:119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1"/>
      <c r="L364" s="18"/>
      <c r="M364" s="4"/>
      <c r="N364" s="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</row>
    <row r="365" spans="1:119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1"/>
      <c r="L365" s="18"/>
      <c r="M365" s="4"/>
      <c r="N365" s="1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</row>
    <row r="366" spans="1:119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1"/>
      <c r="L366" s="18"/>
      <c r="M366" s="4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</row>
    <row r="367" spans="1:119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1"/>
      <c r="L367" s="18"/>
      <c r="M367" s="4"/>
      <c r="N367" s="1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</row>
    <row r="368" spans="1:119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1"/>
      <c r="L368" s="18"/>
      <c r="M368" s="4"/>
      <c r="N368" s="1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</row>
    <row r="369" spans="1:119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1"/>
      <c r="L369" s="18"/>
      <c r="M369" s="4"/>
      <c r="N369" s="1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</row>
    <row r="370" spans="1:119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1"/>
      <c r="L370" s="18"/>
      <c r="M370" s="4"/>
      <c r="N370" s="1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</row>
    <row r="371" spans="1:119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1"/>
      <c r="L371" s="18"/>
      <c r="M371" s="4"/>
      <c r="N371" s="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</row>
    <row r="372" spans="1:119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1"/>
      <c r="L372" s="18"/>
      <c r="M372" s="4"/>
      <c r="N372" s="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</row>
    <row r="373" spans="1:119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1"/>
      <c r="L373" s="18"/>
      <c r="M373" s="4"/>
      <c r="N373" s="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</row>
    <row r="374" spans="1:119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1"/>
      <c r="L374" s="18"/>
      <c r="M374" s="4"/>
      <c r="N374" s="1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</row>
    <row r="375" spans="1:119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1"/>
      <c r="L375" s="18"/>
      <c r="M375" s="4"/>
      <c r="N375" s="1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</row>
    <row r="376" spans="1:119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1"/>
      <c r="L376" s="18"/>
      <c r="M376" s="4"/>
      <c r="N376" s="1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</row>
    <row r="377" spans="1:119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1"/>
      <c r="L377" s="18"/>
      <c r="M377" s="4"/>
      <c r="N377" s="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</row>
    <row r="378" spans="1:119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1"/>
      <c r="L378" s="18"/>
      <c r="M378" s="4"/>
      <c r="N378" s="1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</row>
    <row r="379" spans="1:119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1"/>
      <c r="L379" s="18"/>
      <c r="M379" s="4"/>
      <c r="N379" s="1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</row>
    <row r="380" spans="1:119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1"/>
      <c r="L380" s="18"/>
      <c r="M380" s="4"/>
      <c r="N380" s="1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</row>
    <row r="381" spans="1:119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1"/>
      <c r="L381" s="18"/>
      <c r="M381" s="4"/>
      <c r="N381" s="1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</row>
    <row r="382" spans="1:119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1"/>
      <c r="L382" s="18"/>
      <c r="M382" s="4"/>
      <c r="N382" s="1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</row>
    <row r="383" spans="1:119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1"/>
      <c r="L383" s="18"/>
      <c r="M383" s="4"/>
      <c r="N383" s="1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</row>
    <row r="384" spans="1:119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1"/>
      <c r="L384" s="18"/>
      <c r="M384" s="4"/>
      <c r="N384" s="1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</row>
    <row r="385" spans="1:119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1"/>
      <c r="L385" s="18"/>
      <c r="M385" s="4"/>
      <c r="N385" s="1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</row>
    <row r="386" spans="1:119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1"/>
      <c r="L386" s="18"/>
      <c r="M386" s="4"/>
      <c r="N386" s="1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</row>
    <row r="387" spans="1:119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1"/>
      <c r="L387" s="18"/>
      <c r="M387" s="4"/>
      <c r="N387" s="1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</row>
    <row r="388" spans="1:119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1"/>
      <c r="L388" s="18"/>
      <c r="M388" s="4"/>
      <c r="N388" s="1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</row>
    <row r="389" spans="1:119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1"/>
      <c r="L389" s="18"/>
      <c r="M389" s="4"/>
      <c r="N389" s="1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</row>
    <row r="390" spans="1:119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1"/>
      <c r="L390" s="18"/>
      <c r="M390" s="4"/>
      <c r="N390" s="1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</row>
    <row r="391" spans="1:119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1"/>
      <c r="L391" s="18"/>
      <c r="M391" s="4"/>
      <c r="N391" s="1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</row>
    <row r="392" spans="1:119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1"/>
      <c r="L392" s="18"/>
      <c r="M392" s="4"/>
      <c r="N392" s="1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</row>
    <row r="393" spans="1:119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1"/>
      <c r="L393" s="18"/>
      <c r="M393" s="4"/>
      <c r="N393" s="1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</row>
    <row r="394" spans="1:119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1"/>
      <c r="L394" s="18"/>
      <c r="M394" s="4"/>
      <c r="N394" s="1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</row>
    <row r="395" spans="1:119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1"/>
      <c r="L395" s="18"/>
      <c r="M395" s="4"/>
      <c r="N395" s="1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</row>
    <row r="396" spans="1:119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1"/>
      <c r="L396" s="18"/>
      <c r="M396" s="4"/>
      <c r="N396" s="1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</row>
    <row r="397" spans="1:119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1"/>
      <c r="L397" s="18"/>
      <c r="M397" s="4"/>
      <c r="N397" s="1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</row>
    <row r="398" spans="1:119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1"/>
      <c r="L398" s="18"/>
      <c r="M398" s="4"/>
      <c r="N398" s="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</row>
    <row r="399" spans="1:119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1"/>
      <c r="L399" s="18"/>
      <c r="M399" s="4"/>
      <c r="N399" s="1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</row>
    <row r="400" spans="1:119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1"/>
      <c r="L400" s="18"/>
      <c r="M400" s="4"/>
      <c r="N400" s="1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</row>
    <row r="401" spans="1:119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1"/>
      <c r="L401" s="18"/>
      <c r="M401" s="4"/>
      <c r="N401" s="1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</row>
    <row r="402" spans="1:119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1"/>
      <c r="L402" s="18"/>
      <c r="M402" s="4"/>
      <c r="N402" s="1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</row>
    <row r="403" spans="1:119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1"/>
      <c r="L403" s="18"/>
      <c r="M403" s="4"/>
      <c r="N403" s="1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</row>
    <row r="404" spans="1:119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1"/>
      <c r="L404" s="18"/>
      <c r="M404" s="4"/>
      <c r="N404" s="1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</row>
    <row r="405" spans="1:119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1"/>
      <c r="L405" s="18"/>
      <c r="M405" s="4"/>
      <c r="N405" s="1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</row>
    <row r="406" spans="1:119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1"/>
      <c r="L406" s="18"/>
      <c r="M406" s="4"/>
      <c r="N406" s="1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</row>
    <row r="407" spans="1:119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1"/>
      <c r="L407" s="18"/>
      <c r="M407" s="4"/>
      <c r="N407" s="1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</row>
    <row r="408" spans="1:119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1"/>
      <c r="L408" s="18"/>
      <c r="M408" s="4"/>
      <c r="N408" s="1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</row>
    <row r="409" spans="1:119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1"/>
      <c r="L409" s="18"/>
      <c r="M409" s="4"/>
      <c r="N409" s="1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</row>
    <row r="410" spans="1:119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1"/>
      <c r="L410" s="18"/>
      <c r="M410" s="4"/>
      <c r="N410" s="1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</row>
    <row r="411" spans="1:119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1"/>
      <c r="L411" s="18"/>
      <c r="M411" s="4"/>
      <c r="N411" s="1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</row>
    <row r="412" spans="1:119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1"/>
      <c r="L412" s="18"/>
      <c r="M412" s="4"/>
      <c r="N412" s="1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</row>
    <row r="413" spans="1:119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1"/>
      <c r="L413" s="18"/>
      <c r="M413" s="4"/>
      <c r="N413" s="1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</row>
    <row r="414" spans="1:119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1"/>
      <c r="L414" s="18"/>
      <c r="M414" s="4"/>
      <c r="N414" s="1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</row>
    <row r="415" spans="1:119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1"/>
      <c r="L415" s="18"/>
      <c r="M415" s="4"/>
      <c r="N415" s="1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</row>
    <row r="416" spans="1:119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1"/>
      <c r="L416" s="18"/>
      <c r="M416" s="4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</row>
    <row r="417" spans="1:119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1"/>
      <c r="L417" s="18"/>
      <c r="M417" s="4"/>
      <c r="N417" s="1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</row>
    <row r="418" spans="1:119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1"/>
      <c r="L418" s="18"/>
      <c r="M418" s="4"/>
      <c r="N418" s="1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</row>
    <row r="419" spans="1:119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1"/>
      <c r="L419" s="18"/>
      <c r="M419" s="4"/>
      <c r="N419" s="1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</row>
    <row r="420" spans="1:119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1"/>
      <c r="L420" s="18"/>
      <c r="M420" s="4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</row>
    <row r="421" spans="1:119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1"/>
      <c r="L421" s="18"/>
      <c r="M421" s="4"/>
      <c r="N421" s="1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</row>
    <row r="422" spans="1:119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1"/>
      <c r="L422" s="18"/>
      <c r="M422" s="4"/>
      <c r="N422" s="1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</row>
    <row r="423" spans="1:119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1"/>
      <c r="L423" s="18"/>
      <c r="M423" s="4"/>
      <c r="N423" s="1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</row>
    <row r="424" spans="1:119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1"/>
      <c r="L424" s="18"/>
      <c r="M424" s="4"/>
      <c r="N424" s="1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</row>
    <row r="425" spans="1:119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1"/>
      <c r="L425" s="18"/>
      <c r="M425" s="4"/>
      <c r="N425" s="1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</row>
    <row r="426" spans="1:119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1"/>
      <c r="L426" s="18"/>
      <c r="M426" s="4"/>
      <c r="N426" s="1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</row>
    <row r="427" spans="1:119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1"/>
      <c r="L427" s="18"/>
      <c r="M427" s="4"/>
      <c r="N427" s="1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</row>
    <row r="428" spans="1:119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1"/>
      <c r="L428" s="18"/>
      <c r="M428" s="4"/>
      <c r="N428" s="1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</row>
    <row r="429" spans="1:119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1"/>
      <c r="L429" s="18"/>
      <c r="M429" s="4"/>
      <c r="N429" s="1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</row>
    <row r="430" spans="1:119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1"/>
      <c r="L430" s="18"/>
      <c r="M430" s="4"/>
      <c r="N430" s="1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</row>
    <row r="431" spans="1:119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1"/>
      <c r="L431" s="18"/>
      <c r="M431" s="4"/>
      <c r="N431" s="1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</row>
    <row r="432" spans="1:119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1"/>
      <c r="L432" s="18"/>
      <c r="M432" s="4"/>
      <c r="N432" s="1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</row>
    <row r="433" spans="1:119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1"/>
      <c r="L433" s="18"/>
      <c r="M433" s="4"/>
      <c r="N433" s="1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</row>
    <row r="434" spans="1:119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1"/>
      <c r="L434" s="18"/>
      <c r="M434" s="4"/>
      <c r="N434" s="1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</row>
    <row r="435" spans="1:119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1"/>
      <c r="L435" s="18"/>
      <c r="M435" s="4"/>
      <c r="N435" s="1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</row>
    <row r="436" spans="1:119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1"/>
      <c r="L436" s="18"/>
      <c r="M436" s="4"/>
      <c r="N436" s="1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</row>
    <row r="437" spans="1:119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1"/>
      <c r="L437" s="18"/>
      <c r="M437" s="4"/>
      <c r="N437" s="1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</row>
    <row r="438" spans="1:119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1"/>
      <c r="L438" s="18"/>
      <c r="M438" s="4"/>
      <c r="N438" s="1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</row>
    <row r="439" spans="1:119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1"/>
      <c r="L439" s="18"/>
      <c r="M439" s="4"/>
      <c r="N439" s="1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</row>
    <row r="440" spans="1:119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1"/>
      <c r="L440" s="18"/>
      <c r="M440" s="4"/>
      <c r="N440" s="1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</row>
    <row r="441" spans="1:119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1"/>
      <c r="L441" s="18"/>
      <c r="M441" s="4"/>
      <c r="N441" s="1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</row>
    <row r="442" spans="1:119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1"/>
      <c r="L442" s="18"/>
      <c r="M442" s="4"/>
      <c r="N442" s="1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</row>
    <row r="443" spans="1:119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1"/>
      <c r="L443" s="18"/>
      <c r="M443" s="4"/>
      <c r="N443" s="1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</row>
    <row r="444" spans="1:119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1"/>
      <c r="L444" s="18"/>
      <c r="M444" s="4"/>
      <c r="N444" s="1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</row>
    <row r="445" spans="1:119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1"/>
      <c r="L445" s="18"/>
      <c r="M445" s="4"/>
      <c r="N445" s="1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</row>
    <row r="446" spans="1:119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1"/>
      <c r="L446" s="18"/>
      <c r="M446" s="4"/>
      <c r="N446" s="1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</row>
    <row r="447" spans="1:119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1"/>
      <c r="L447" s="18"/>
      <c r="M447" s="4"/>
      <c r="N447" s="1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</row>
    <row r="448" spans="1:119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1"/>
      <c r="L448" s="18"/>
      <c r="M448" s="4"/>
      <c r="N448" s="1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</row>
    <row r="449" spans="1:119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1"/>
      <c r="L449" s="18"/>
      <c r="M449" s="4"/>
      <c r="N449" s="1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</row>
    <row r="450" spans="1:119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1"/>
      <c r="L450" s="18"/>
      <c r="M450" s="4"/>
      <c r="N450" s="1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</row>
    <row r="451" spans="1:119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1"/>
      <c r="L451" s="18"/>
      <c r="M451" s="4"/>
      <c r="N451" s="1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</row>
    <row r="452" spans="1:119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1"/>
      <c r="L452" s="18"/>
      <c r="M452" s="4"/>
      <c r="N452" s="1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</row>
    <row r="453" spans="1:119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1"/>
      <c r="L453" s="18"/>
      <c r="M453" s="4"/>
      <c r="N453" s="1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</row>
    <row r="454" spans="1:119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1"/>
      <c r="L454" s="18"/>
      <c r="M454" s="4"/>
      <c r="N454" s="1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</row>
    <row r="455" spans="1:119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1"/>
      <c r="L455" s="18"/>
      <c r="M455" s="4"/>
      <c r="N455" s="1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</row>
    <row r="456" spans="1:119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1"/>
      <c r="L456" s="18"/>
      <c r="M456" s="4"/>
      <c r="N456" s="1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</row>
    <row r="457" spans="1:119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1"/>
      <c r="L457" s="18"/>
      <c r="M457" s="4"/>
      <c r="N457" s="1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</row>
    <row r="458" spans="1:119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1"/>
      <c r="L458" s="18"/>
      <c r="M458" s="4"/>
      <c r="N458" s="1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</row>
    <row r="459" spans="1:119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1"/>
      <c r="L459" s="18"/>
      <c r="M459" s="4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</row>
    <row r="460" spans="1:119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1"/>
      <c r="L460" s="18"/>
      <c r="M460" s="4"/>
      <c r="N460" s="1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</row>
    <row r="461" spans="1:119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1"/>
      <c r="L461" s="18"/>
      <c r="M461" s="4"/>
      <c r="N461" s="1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</row>
    <row r="462" spans="1:119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1"/>
      <c r="L462" s="18"/>
      <c r="M462" s="4"/>
      <c r="N462" s="1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</row>
    <row r="463" spans="1:119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1"/>
      <c r="L463" s="18"/>
      <c r="M463" s="4"/>
      <c r="N463" s="1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</row>
    <row r="464" spans="1:119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1"/>
      <c r="L464" s="18"/>
      <c r="M464" s="4"/>
      <c r="N464" s="1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</row>
    <row r="465" spans="1:119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1"/>
      <c r="L465" s="18"/>
      <c r="M465" s="4"/>
      <c r="N465" s="1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</row>
    <row r="466" spans="1:119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1"/>
      <c r="L466" s="18"/>
      <c r="M466" s="4"/>
      <c r="N466" s="1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</row>
    <row r="467" spans="1:119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1"/>
      <c r="L467" s="18"/>
      <c r="M467" s="4"/>
      <c r="N467" s="1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</row>
    <row r="468" spans="1:119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1"/>
      <c r="L468" s="18"/>
      <c r="M468" s="4"/>
      <c r="N468" s="1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</row>
    <row r="469" spans="1:119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1"/>
      <c r="L469" s="18"/>
      <c r="M469" s="4"/>
      <c r="N469" s="1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</row>
    <row r="470" spans="1:119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1"/>
      <c r="L470" s="18"/>
      <c r="M470" s="4"/>
      <c r="N470" s="1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</row>
    <row r="471" spans="1:119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1"/>
      <c r="L471" s="18"/>
      <c r="M471" s="4"/>
      <c r="N471" s="1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</row>
    <row r="472" spans="1:119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1"/>
      <c r="L472" s="18"/>
      <c r="M472" s="4"/>
      <c r="N472" s="1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</row>
    <row r="473" spans="1:119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1"/>
      <c r="L473" s="18"/>
      <c r="M473" s="4"/>
      <c r="N473" s="1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</row>
    <row r="474" spans="1:119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1"/>
      <c r="L474" s="18"/>
      <c r="M474" s="4"/>
      <c r="N474" s="1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</row>
    <row r="475" spans="1:119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1"/>
      <c r="L475" s="18"/>
      <c r="M475" s="4"/>
      <c r="N475" s="1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</row>
    <row r="476" spans="1:119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1"/>
      <c r="L476" s="18"/>
      <c r="M476" s="4"/>
      <c r="N476" s="1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</row>
    <row r="477" spans="1:119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1"/>
      <c r="L477" s="18"/>
      <c r="M477" s="4"/>
      <c r="N477" s="1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</row>
    <row r="478" spans="1:119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1"/>
      <c r="L478" s="18"/>
      <c r="M478" s="4"/>
      <c r="N478" s="1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</row>
    <row r="479" spans="1:119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1"/>
      <c r="L479" s="18"/>
      <c r="M479" s="4"/>
      <c r="N479" s="1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</row>
    <row r="480" spans="1:119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1"/>
      <c r="L480" s="18"/>
      <c r="M480" s="4"/>
      <c r="N480" s="1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</row>
    <row r="481" spans="1:119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1"/>
      <c r="L481" s="18"/>
      <c r="M481" s="4"/>
      <c r="N481" s="1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</row>
    <row r="482" spans="1:119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1"/>
      <c r="L482" s="18"/>
      <c r="M482" s="4"/>
      <c r="N482" s="1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</row>
    <row r="483" spans="1:119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1"/>
      <c r="L483" s="18"/>
      <c r="M483" s="4"/>
      <c r="N483" s="1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</row>
    <row r="484" spans="1:119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1"/>
      <c r="L484" s="18"/>
      <c r="M484" s="4"/>
      <c r="N484" s="1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</row>
    <row r="485" spans="1:119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1"/>
      <c r="L485" s="18"/>
      <c r="M485" s="4"/>
      <c r="N485" s="1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</row>
    <row r="486" spans="1:119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1"/>
      <c r="L486" s="18"/>
      <c r="M486" s="4"/>
      <c r="N486" s="1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</row>
    <row r="487" spans="1:119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1"/>
      <c r="L487" s="18"/>
      <c r="M487" s="4"/>
      <c r="N487" s="1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</row>
    <row r="488" spans="1:119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1"/>
      <c r="L488" s="18"/>
      <c r="M488" s="4"/>
      <c r="N488" s="1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</row>
    <row r="489" spans="1:119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1"/>
      <c r="L489" s="18"/>
      <c r="M489" s="4"/>
      <c r="N489" s="1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</row>
    <row r="490" spans="1:119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1"/>
      <c r="L490" s="18"/>
      <c r="M490" s="4"/>
      <c r="N490" s="1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</row>
    <row r="491" spans="1:119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1"/>
      <c r="L491" s="18"/>
      <c r="M491" s="4"/>
      <c r="N491" s="1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</row>
    <row r="492" spans="1:119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1"/>
      <c r="L492" s="18"/>
      <c r="M492" s="4"/>
      <c r="N492" s="1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</row>
    <row r="493" spans="1:119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1"/>
      <c r="L493" s="18"/>
      <c r="M493" s="4"/>
      <c r="N493" s="1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</row>
    <row r="494" spans="1:119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1"/>
      <c r="L494" s="18"/>
      <c r="M494" s="4"/>
      <c r="N494" s="1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</row>
    <row r="495" spans="1:119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1"/>
      <c r="L495" s="18"/>
      <c r="M495" s="4"/>
      <c r="N495" s="1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</row>
    <row r="496" spans="1:119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1"/>
      <c r="L496" s="18"/>
      <c r="M496" s="4"/>
      <c r="N496" s="1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</row>
    <row r="497" spans="1:119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1"/>
      <c r="L497" s="18"/>
      <c r="M497" s="4"/>
      <c r="N497" s="1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</row>
    <row r="498" spans="1:119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1"/>
      <c r="L498" s="18"/>
      <c r="M498" s="4"/>
      <c r="N498" s="1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</row>
    <row r="499" spans="1:119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1"/>
      <c r="L499" s="18"/>
      <c r="M499" s="4"/>
      <c r="N499" s="1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</row>
    <row r="500" spans="1:119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1"/>
      <c r="L500" s="18"/>
      <c r="M500" s="4"/>
      <c r="N500" s="1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</row>
    <row r="501" spans="1:119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1"/>
      <c r="L501" s="18"/>
      <c r="M501" s="4"/>
      <c r="N501" s="1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</row>
    <row r="502" spans="1:119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1"/>
      <c r="L502" s="18"/>
      <c r="M502" s="4"/>
      <c r="N502" s="1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</row>
    <row r="503" spans="1:119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1"/>
      <c r="L503" s="18"/>
      <c r="M503" s="4"/>
      <c r="N503" s="1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</row>
    <row r="504" spans="1:119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1"/>
      <c r="L504" s="18"/>
      <c r="M504" s="4"/>
      <c r="N504" s="1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</row>
    <row r="505" spans="1:119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1"/>
      <c r="L505" s="18"/>
      <c r="M505" s="4"/>
      <c r="N505" s="1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</row>
    <row r="506" spans="1:119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1"/>
      <c r="L506" s="18"/>
      <c r="M506" s="4"/>
      <c r="N506" s="1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</row>
    <row r="507" spans="1:119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1"/>
      <c r="L507" s="18"/>
      <c r="M507" s="4"/>
      <c r="N507" s="1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</row>
    <row r="508" spans="1:119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1"/>
      <c r="L508" s="18"/>
      <c r="M508" s="4"/>
      <c r="N508" s="1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</row>
    <row r="509" spans="1:119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1"/>
      <c r="L509" s="18"/>
      <c r="M509" s="4"/>
      <c r="N509" s="1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</row>
    <row r="510" spans="1:119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1"/>
      <c r="L510" s="18"/>
      <c r="M510" s="4"/>
      <c r="N510" s="1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</row>
    <row r="511" spans="1:119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1"/>
      <c r="L511" s="18"/>
      <c r="M511" s="4"/>
      <c r="N511" s="1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</row>
    <row r="512" spans="1:119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1"/>
      <c r="L512" s="18"/>
      <c r="M512" s="4"/>
      <c r="N512" s="1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</row>
    <row r="513" spans="1:119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1"/>
      <c r="L513" s="18"/>
      <c r="M513" s="4"/>
      <c r="N513" s="1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</row>
    <row r="514" spans="1:119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1"/>
      <c r="L514" s="18"/>
      <c r="M514" s="4"/>
      <c r="N514" s="1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</row>
    <row r="515" spans="1:119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1"/>
      <c r="L515" s="18"/>
      <c r="M515" s="4"/>
      <c r="N515" s="1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</row>
    <row r="516" spans="1:119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1"/>
      <c r="L516" s="18"/>
      <c r="M516" s="4"/>
      <c r="N516" s="1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</row>
    <row r="517" spans="1:119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1"/>
      <c r="L517" s="18"/>
      <c r="M517" s="4"/>
      <c r="N517" s="1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</row>
    <row r="518" spans="1:119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1"/>
      <c r="L518" s="18"/>
      <c r="M518" s="4"/>
      <c r="N518" s="1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</row>
    <row r="519" spans="1:119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1"/>
      <c r="L519" s="18"/>
      <c r="M519" s="4"/>
      <c r="N519" s="1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</row>
    <row r="520" spans="1:119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1"/>
      <c r="L520" s="18"/>
      <c r="M520" s="4"/>
      <c r="N520" s="1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</row>
    <row r="521" spans="1:119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1"/>
      <c r="L521" s="18"/>
      <c r="M521" s="4"/>
      <c r="N521" s="1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</row>
    <row r="522" spans="1:119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1"/>
      <c r="L522" s="18"/>
      <c r="M522" s="4"/>
      <c r="N522" s="1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</row>
    <row r="523" spans="1:119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1"/>
      <c r="L523" s="18"/>
      <c r="M523" s="4"/>
      <c r="N523" s="1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</row>
    <row r="524" spans="1:119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1"/>
      <c r="L524" s="18"/>
      <c r="M524" s="4"/>
      <c r="N524" s="1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</row>
    <row r="525" spans="1:119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1"/>
      <c r="L525" s="18"/>
      <c r="M525" s="4"/>
      <c r="N525" s="1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</row>
    <row r="526" spans="1:119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1"/>
      <c r="L526" s="18"/>
      <c r="M526" s="4"/>
      <c r="N526" s="1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</row>
    <row r="527" spans="1:119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1"/>
      <c r="L527" s="18"/>
      <c r="M527" s="4"/>
      <c r="N527" s="1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</row>
    <row r="528" spans="1:119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1"/>
      <c r="L528" s="18"/>
      <c r="M528" s="4"/>
      <c r="N528" s="1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</row>
    <row r="529" spans="1:119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1"/>
      <c r="L529" s="18"/>
      <c r="M529" s="4"/>
      <c r="N529" s="1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</row>
    <row r="530" spans="1:119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1"/>
      <c r="L530" s="18"/>
      <c r="M530" s="4"/>
      <c r="N530" s="1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</row>
    <row r="531" spans="1:119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1"/>
      <c r="L531" s="18"/>
      <c r="M531" s="4"/>
      <c r="N531" s="1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</row>
    <row r="532" spans="1:119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1"/>
      <c r="L532" s="18"/>
      <c r="M532" s="4"/>
      <c r="N532" s="1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</row>
    <row r="533" spans="1:119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1"/>
      <c r="L533" s="18"/>
      <c r="M533" s="4"/>
      <c r="N533" s="1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</row>
    <row r="534" spans="1:119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1"/>
      <c r="L534" s="18"/>
      <c r="M534" s="4"/>
      <c r="N534" s="1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</row>
    <row r="535" spans="1:119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1"/>
      <c r="L535" s="18"/>
      <c r="M535" s="4"/>
      <c r="N535" s="1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</row>
    <row r="536" spans="1:119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1"/>
      <c r="L536" s="18"/>
      <c r="M536" s="4"/>
      <c r="N536" s="1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</row>
    <row r="537" spans="1:119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1"/>
      <c r="L537" s="18"/>
      <c r="M537" s="4"/>
      <c r="N537" s="1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</row>
    <row r="538" spans="1:119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1"/>
      <c r="L538" s="18"/>
      <c r="M538" s="4"/>
      <c r="N538" s="1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</row>
    <row r="539" spans="1:119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1"/>
      <c r="L539" s="18"/>
      <c r="M539" s="4"/>
      <c r="N539" s="1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</row>
    <row r="540" spans="1:119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1"/>
      <c r="L540" s="18"/>
      <c r="M540" s="4"/>
      <c r="N540" s="1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</row>
    <row r="541" spans="1:119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1"/>
      <c r="L541" s="18"/>
      <c r="M541" s="4"/>
      <c r="N541" s="1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</row>
    <row r="542" spans="1:119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1"/>
      <c r="L542" s="18"/>
      <c r="M542" s="4"/>
      <c r="N542" s="1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</row>
    <row r="543" spans="1:119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1"/>
      <c r="L543" s="18"/>
      <c r="M543" s="4"/>
      <c r="N543" s="1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</row>
    <row r="544" spans="1:119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1"/>
      <c r="L544" s="18"/>
      <c r="M544" s="4"/>
      <c r="N544" s="1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</row>
    <row r="545" spans="1:119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1"/>
      <c r="L545" s="18"/>
      <c r="M545" s="4"/>
      <c r="N545" s="1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</row>
    <row r="546" spans="1:119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1"/>
      <c r="L546" s="18"/>
      <c r="M546" s="4"/>
      <c r="N546" s="1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</row>
    <row r="547" spans="1:119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1"/>
      <c r="L547" s="18"/>
      <c r="M547" s="4"/>
      <c r="N547" s="1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</row>
    <row r="548" spans="1:119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1"/>
      <c r="L548" s="18"/>
      <c r="M548" s="4"/>
      <c r="N548" s="1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</row>
    <row r="549" spans="1:119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1"/>
      <c r="L549" s="18"/>
      <c r="M549" s="4"/>
      <c r="N549" s="1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</row>
    <row r="550" spans="1:119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1"/>
      <c r="L550" s="18"/>
      <c r="M550" s="4"/>
      <c r="N550" s="1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</row>
    <row r="551" spans="1:119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1"/>
      <c r="L551" s="18"/>
      <c r="M551" s="4"/>
      <c r="N551" s="1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</row>
    <row r="552" spans="1:119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1"/>
      <c r="L552" s="18"/>
      <c r="M552" s="4"/>
      <c r="N552" s="1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</row>
    <row r="553" spans="1:119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1"/>
      <c r="L553" s="18"/>
      <c r="M553" s="4"/>
      <c r="N553" s="1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</row>
    <row r="554" spans="1:119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1"/>
      <c r="L554" s="18"/>
      <c r="M554" s="4"/>
      <c r="N554" s="1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</row>
    <row r="555" spans="1:119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1"/>
      <c r="L555" s="18"/>
      <c r="M555" s="4"/>
      <c r="N555" s="1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</row>
    <row r="556" spans="1:119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1"/>
      <c r="L556" s="18"/>
      <c r="M556" s="4"/>
      <c r="N556" s="1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</row>
    <row r="557" spans="1:119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1"/>
      <c r="L557" s="18"/>
      <c r="M557" s="4"/>
      <c r="N557" s="1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</row>
    <row r="558" spans="1:119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1"/>
      <c r="L558" s="18"/>
      <c r="M558" s="4"/>
      <c r="N558" s="1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</row>
    <row r="559" spans="1:119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1"/>
      <c r="L559" s="18"/>
      <c r="M559" s="4"/>
      <c r="N559" s="1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</row>
    <row r="560" spans="1:119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1"/>
      <c r="L560" s="18"/>
      <c r="M560" s="4"/>
      <c r="N560" s="1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</row>
    <row r="561" spans="1:119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1"/>
      <c r="L561" s="18"/>
      <c r="M561" s="4"/>
      <c r="N561" s="1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</row>
    <row r="562" spans="1:119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1"/>
      <c r="L562" s="18"/>
      <c r="M562" s="4"/>
      <c r="N562" s="1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</row>
    <row r="563" spans="1:119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1"/>
      <c r="L563" s="18"/>
      <c r="M563" s="4"/>
      <c r="N563" s="1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</row>
    <row r="564" spans="1:119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1"/>
      <c r="L564" s="18"/>
      <c r="M564" s="4"/>
      <c r="N564" s="1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</row>
    <row r="565" spans="1:119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1"/>
      <c r="L565" s="18"/>
      <c r="M565" s="4"/>
      <c r="N565" s="1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</row>
    <row r="566" spans="1:119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1"/>
      <c r="L566" s="18"/>
      <c r="M566" s="4"/>
      <c r="N566" s="1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</row>
    <row r="567" spans="1:119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1"/>
      <c r="L567" s="18"/>
      <c r="M567" s="4"/>
      <c r="N567" s="1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</row>
    <row r="568" spans="1:119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1"/>
      <c r="L568" s="18"/>
      <c r="M568" s="4"/>
      <c r="N568" s="1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</row>
    <row r="569" spans="1:119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1"/>
      <c r="L569" s="18"/>
      <c r="M569" s="4"/>
      <c r="N569" s="1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</row>
    <row r="570" spans="1:119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1"/>
      <c r="L570" s="18"/>
      <c r="M570" s="4"/>
      <c r="N570" s="1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</row>
    <row r="571" spans="1:119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1"/>
      <c r="L571" s="18"/>
      <c r="M571" s="4"/>
      <c r="N571" s="1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</row>
    <row r="572" spans="1:119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1"/>
      <c r="L572" s="18"/>
      <c r="M572" s="4"/>
      <c r="N572" s="1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</row>
    <row r="573" spans="1:119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1"/>
      <c r="L573" s="18"/>
      <c r="M573" s="4"/>
      <c r="N573" s="1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</row>
    <row r="574" spans="1:119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1"/>
      <c r="L574" s="18"/>
      <c r="M574" s="4"/>
      <c r="N574" s="1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</row>
    <row r="575" spans="1:119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1"/>
      <c r="L575" s="18"/>
      <c r="M575" s="4"/>
      <c r="N575" s="1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</row>
    <row r="576" spans="1:119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1"/>
      <c r="L576" s="18"/>
      <c r="M576" s="4"/>
      <c r="N576" s="1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</row>
    <row r="577" spans="1:119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1"/>
      <c r="L577" s="18"/>
      <c r="M577" s="4"/>
      <c r="N577" s="1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</row>
    <row r="578" spans="1:119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1"/>
      <c r="L578" s="18"/>
      <c r="M578" s="4"/>
      <c r="N578" s="1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</row>
    <row r="579" spans="1:119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1"/>
      <c r="L579" s="18"/>
      <c r="M579" s="4"/>
      <c r="N579" s="1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</row>
    <row r="580" spans="1:119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1"/>
      <c r="L580" s="18"/>
      <c r="M580" s="4"/>
      <c r="N580" s="1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</row>
    <row r="581" spans="1:119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1"/>
      <c r="L581" s="18"/>
      <c r="M581" s="4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</row>
    <row r="582" spans="1:119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1"/>
      <c r="L582" s="18"/>
      <c r="M582" s="4"/>
      <c r="N582" s="1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</row>
    <row r="583" spans="1:119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1"/>
      <c r="L583" s="18"/>
      <c r="M583" s="4"/>
      <c r="N583" s="1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</row>
    <row r="584" spans="1:119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1"/>
      <c r="L584" s="18"/>
      <c r="M584" s="4"/>
      <c r="N584" s="1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</row>
    <row r="585" spans="1:119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1"/>
      <c r="L585" s="18"/>
      <c r="M585" s="4"/>
      <c r="N585" s="1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</row>
    <row r="586" spans="1:119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1"/>
      <c r="L586" s="18"/>
      <c r="M586" s="4"/>
      <c r="N586" s="1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</row>
    <row r="587" spans="1:119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1"/>
      <c r="L587" s="18"/>
      <c r="M587" s="4"/>
      <c r="N587" s="1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</row>
    <row r="588" spans="1:119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1"/>
      <c r="L588" s="18"/>
      <c r="M588" s="4"/>
      <c r="N588" s="1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</row>
    <row r="589" spans="1:119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1"/>
      <c r="L589" s="18"/>
      <c r="M589" s="4"/>
      <c r="N589" s="1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</row>
    <row r="590" spans="1:119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1"/>
      <c r="L590" s="18"/>
      <c r="M590" s="4"/>
      <c r="N590" s="1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</row>
    <row r="591" spans="1:119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1"/>
      <c r="L591" s="18"/>
      <c r="M591" s="4"/>
      <c r="N591" s="1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</row>
    <row r="592" spans="1:119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1"/>
      <c r="L592" s="18"/>
      <c r="M592" s="4"/>
      <c r="N592" s="1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</row>
    <row r="593" spans="1:119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1"/>
      <c r="L593" s="18"/>
      <c r="M593" s="4"/>
      <c r="N593" s="1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</row>
    <row r="594" spans="1:119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1"/>
      <c r="L594" s="18"/>
      <c r="M594" s="4"/>
      <c r="N594" s="1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</row>
    <row r="595" spans="1:119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1"/>
      <c r="L595" s="18"/>
      <c r="M595" s="4"/>
      <c r="N595" s="1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</row>
    <row r="596" spans="1:119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1"/>
      <c r="L596" s="18"/>
      <c r="M596" s="4"/>
      <c r="N596" s="1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</row>
    <row r="597" spans="1:119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1"/>
      <c r="L597" s="18"/>
      <c r="M597" s="4"/>
      <c r="N597" s="1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</row>
    <row r="598" spans="1:119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1"/>
      <c r="L598" s="18"/>
      <c r="M598" s="4"/>
      <c r="N598" s="1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</row>
    <row r="599" spans="1:119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1"/>
      <c r="L599" s="18"/>
      <c r="M599" s="4"/>
      <c r="N599" s="1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</row>
    <row r="600" spans="1:119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1"/>
      <c r="L600" s="18"/>
      <c r="M600" s="4"/>
      <c r="N600" s="1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</row>
    <row r="601" spans="1:119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1"/>
      <c r="L601" s="18"/>
      <c r="M601" s="4"/>
      <c r="N601" s="1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</row>
    <row r="602" spans="1:119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1"/>
      <c r="L602" s="18"/>
      <c r="M602" s="4"/>
      <c r="N602" s="1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</row>
    <row r="603" spans="1:119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1"/>
      <c r="L603" s="18"/>
      <c r="M603" s="4"/>
      <c r="N603" s="1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</row>
    <row r="604" spans="1:119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1"/>
      <c r="L604" s="18"/>
      <c r="M604" s="4"/>
      <c r="N604" s="1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</row>
    <row r="605" spans="1:119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1"/>
      <c r="L605" s="18"/>
      <c r="M605" s="4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</row>
    <row r="606" spans="1:119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1"/>
      <c r="L606" s="18"/>
      <c r="M606" s="4"/>
      <c r="N606" s="1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</row>
    <row r="607" spans="1:119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1"/>
      <c r="L607" s="18"/>
      <c r="M607" s="4"/>
      <c r="N607" s="1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</row>
    <row r="608" spans="1:119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1"/>
      <c r="L608" s="18"/>
      <c r="M608" s="4"/>
      <c r="N608" s="1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</row>
    <row r="609" spans="1:119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1"/>
      <c r="L609" s="18"/>
      <c r="M609" s="4"/>
      <c r="N609" s="1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</row>
    <row r="610" spans="1:119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1"/>
      <c r="L610" s="18"/>
      <c r="M610" s="4"/>
      <c r="N610" s="1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</row>
    <row r="611" spans="1:119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1"/>
      <c r="L611" s="18"/>
      <c r="M611" s="4"/>
      <c r="N611" s="1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</row>
    <row r="612" spans="1:119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1"/>
      <c r="L612" s="18"/>
      <c r="M612" s="4"/>
      <c r="N612" s="1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</row>
    <row r="613" spans="1:119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1"/>
      <c r="L613" s="18"/>
      <c r="M613" s="4"/>
      <c r="N613" s="1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</row>
    <row r="614" spans="1:119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1"/>
      <c r="L614" s="18"/>
      <c r="M614" s="4"/>
      <c r="N614" s="1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</row>
    <row r="615" spans="1:119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1"/>
      <c r="L615" s="18"/>
      <c r="M615" s="4"/>
      <c r="N615" s="1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</row>
    <row r="616" spans="1:119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1"/>
      <c r="L616" s="18"/>
      <c r="M616" s="4"/>
      <c r="N616" s="1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</row>
    <row r="617" spans="1:119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1"/>
      <c r="L617" s="18"/>
      <c r="M617" s="4"/>
      <c r="N617" s="1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</row>
    <row r="618" spans="1:119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1"/>
      <c r="L618" s="18"/>
      <c r="M618" s="4"/>
      <c r="N618" s="1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</row>
    <row r="619" spans="1:119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1"/>
      <c r="L619" s="18"/>
      <c r="M619" s="4"/>
      <c r="N619" s="1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</row>
    <row r="620" spans="1:119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1"/>
      <c r="L620" s="18"/>
      <c r="M620" s="4"/>
      <c r="N620" s="1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</row>
    <row r="621" spans="1:119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1"/>
      <c r="L621" s="18"/>
      <c r="M621" s="4"/>
      <c r="N621" s="1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</row>
    <row r="622" spans="1:119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1"/>
      <c r="L622" s="18"/>
      <c r="M622" s="4"/>
      <c r="N622" s="1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</row>
    <row r="623" spans="1:119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1"/>
      <c r="L623" s="18"/>
      <c r="M623" s="4"/>
      <c r="N623" s="1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</row>
    <row r="624" spans="1:119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1"/>
      <c r="L624" s="18"/>
      <c r="M624" s="4"/>
      <c r="N624" s="1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</row>
    <row r="625" spans="1:119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1"/>
      <c r="L625" s="18"/>
      <c r="M625" s="4"/>
      <c r="N625" s="1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</row>
    <row r="626" spans="1:119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1"/>
      <c r="L626" s="18"/>
      <c r="M626" s="4"/>
      <c r="N626" s="1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</row>
    <row r="627" spans="1:119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1"/>
      <c r="L627" s="18"/>
      <c r="M627" s="4"/>
      <c r="N627" s="1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</row>
    <row r="628" spans="1:119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1"/>
      <c r="L628" s="18"/>
      <c r="M628" s="4"/>
      <c r="N628" s="1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</row>
    <row r="629" spans="1:119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1"/>
      <c r="L629" s="18"/>
      <c r="M629" s="4"/>
      <c r="N629" s="1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</row>
    <row r="630" spans="1:119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1"/>
      <c r="L630" s="18"/>
      <c r="M630" s="4"/>
      <c r="N630" s="1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</row>
    <row r="631" spans="1:119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1"/>
      <c r="L631" s="18"/>
      <c r="M631" s="4"/>
      <c r="N631" s="1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</row>
    <row r="632" spans="1:119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1"/>
      <c r="L632" s="18"/>
      <c r="M632" s="4"/>
      <c r="N632" s="1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</row>
    <row r="633" spans="1:119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1"/>
      <c r="L633" s="18"/>
      <c r="M633" s="4"/>
      <c r="N633" s="1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</row>
    <row r="634" spans="1:119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1"/>
      <c r="L634" s="18"/>
      <c r="M634" s="4"/>
      <c r="N634" s="1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</row>
    <row r="635" spans="1:119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1"/>
      <c r="L635" s="18"/>
      <c r="M635" s="4"/>
      <c r="N635" s="1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</row>
    <row r="636" spans="1:119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1"/>
      <c r="L636" s="18"/>
      <c r="M636" s="4"/>
      <c r="N636" s="1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</row>
    <row r="637" spans="1:119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1"/>
      <c r="L637" s="18"/>
      <c r="M637" s="4"/>
      <c r="N637" s="1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</row>
    <row r="638" spans="1:119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1"/>
      <c r="L638" s="18"/>
      <c r="M638" s="4"/>
      <c r="N638" s="1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</row>
    <row r="639" spans="1:119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1"/>
      <c r="L639" s="18"/>
      <c r="M639" s="4"/>
      <c r="N639" s="1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</row>
    <row r="640" spans="1:119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1"/>
      <c r="L640" s="18"/>
      <c r="M640" s="4"/>
      <c r="N640" s="1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</row>
    <row r="641" spans="1:119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1"/>
      <c r="L641" s="18"/>
      <c r="M641" s="4"/>
      <c r="N641" s="1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</row>
    <row r="642" spans="1:119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1"/>
      <c r="L642" s="18"/>
      <c r="M642" s="4"/>
      <c r="N642" s="1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</row>
    <row r="643" spans="1:119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1"/>
      <c r="L643" s="18"/>
      <c r="M643" s="4"/>
      <c r="N643" s="1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</row>
    <row r="644" spans="1:119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1"/>
      <c r="L644" s="18"/>
      <c r="M644" s="4"/>
      <c r="N644" s="1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</row>
    <row r="645" spans="1:119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1"/>
      <c r="L645" s="18"/>
      <c r="M645" s="4"/>
      <c r="N645" s="1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</row>
    <row r="646" spans="1:119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1"/>
      <c r="L646" s="18"/>
      <c r="M646" s="4"/>
      <c r="N646" s="1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</row>
    <row r="647" spans="1:119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1"/>
      <c r="L647" s="18"/>
      <c r="M647" s="4"/>
      <c r="N647" s="1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</row>
    <row r="648" spans="1:119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1"/>
      <c r="L648" s="18"/>
      <c r="M648" s="4"/>
      <c r="N648" s="1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</row>
    <row r="649" spans="1:119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1"/>
      <c r="L649" s="18"/>
      <c r="M649" s="4"/>
      <c r="N649" s="1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</row>
    <row r="650" spans="1:119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1"/>
      <c r="L650" s="18"/>
      <c r="M650" s="4"/>
      <c r="N650" s="1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</row>
    <row r="651" spans="1:119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1"/>
      <c r="L651" s="18"/>
      <c r="M651" s="4"/>
      <c r="N651" s="1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</row>
    <row r="652" spans="1:119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1"/>
      <c r="L652" s="18"/>
      <c r="M652" s="4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</row>
    <row r="653" spans="1:119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1"/>
      <c r="L653" s="18"/>
      <c r="M653" s="4"/>
      <c r="N653" s="1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</row>
    <row r="654" spans="1:119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1"/>
      <c r="L654" s="18"/>
      <c r="M654" s="4"/>
      <c r="N654" s="1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</row>
    <row r="655" spans="1:119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1"/>
      <c r="L655" s="18"/>
      <c r="M655" s="4"/>
      <c r="N655" s="1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</row>
    <row r="656" spans="1:119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1"/>
      <c r="L656" s="18"/>
      <c r="M656" s="4"/>
      <c r="N656" s="1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</row>
    <row r="657" spans="1:119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1"/>
      <c r="L657" s="18"/>
      <c r="M657" s="4"/>
      <c r="N657" s="1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</row>
    <row r="658" spans="1:119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1"/>
      <c r="L658" s="18"/>
      <c r="M658" s="4"/>
      <c r="N658" s="1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</row>
    <row r="659" spans="1:119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1"/>
      <c r="L659" s="18"/>
      <c r="M659" s="4"/>
      <c r="N659" s="1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</row>
    <row r="660" spans="1:119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1"/>
      <c r="L660" s="18"/>
      <c r="M660" s="4"/>
      <c r="N660" s="1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</row>
    <row r="661" spans="1:119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1"/>
      <c r="L661" s="18"/>
      <c r="M661" s="4"/>
      <c r="N661" s="1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</row>
    <row r="662" spans="1:119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18"/>
      <c r="M662" s="4"/>
      <c r="N662" s="1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</row>
    <row r="663" spans="1:119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1"/>
      <c r="L663" s="18"/>
      <c r="M663" s="4"/>
      <c r="N663" s="1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</row>
    <row r="664" spans="1:119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1"/>
      <c r="L664" s="18"/>
      <c r="M664" s="4"/>
      <c r="N664" s="1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</row>
    <row r="665" spans="1:119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1"/>
      <c r="L665" s="18"/>
      <c r="M665" s="4"/>
      <c r="N665" s="1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</row>
    <row r="666" spans="1:119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1"/>
      <c r="L666" s="18"/>
      <c r="M666" s="4"/>
      <c r="N666" s="1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</row>
    <row r="667" spans="1:119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1"/>
      <c r="L667" s="18"/>
      <c r="M667" s="4"/>
      <c r="N667" s="1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</row>
    <row r="668" spans="1:119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1"/>
      <c r="L668" s="18"/>
      <c r="M668" s="4"/>
      <c r="N668" s="1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</row>
    <row r="669" spans="1:119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1"/>
      <c r="L669" s="18"/>
      <c r="M669" s="4"/>
      <c r="N669" s="1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</row>
    <row r="670" spans="1:119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1"/>
      <c r="L670" s="18"/>
      <c r="M670" s="4"/>
      <c r="N670" s="1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</row>
    <row r="671" spans="1:119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1"/>
      <c r="L671" s="18"/>
      <c r="M671" s="4"/>
      <c r="N671" s="1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</row>
    <row r="672" spans="1:119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1"/>
      <c r="L672" s="18"/>
      <c r="M672" s="4"/>
      <c r="N672" s="1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</row>
    <row r="673" spans="1:119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1"/>
      <c r="L673" s="18"/>
      <c r="M673" s="4"/>
      <c r="N673" s="1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</row>
    <row r="674" spans="1:119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1"/>
      <c r="L674" s="18"/>
      <c r="M674" s="4"/>
      <c r="N674" s="1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</row>
    <row r="675" spans="1:119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1"/>
      <c r="L675" s="18"/>
      <c r="M675" s="4"/>
      <c r="N675" s="1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</row>
    <row r="676" spans="1:119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1"/>
      <c r="L676" s="18"/>
      <c r="M676" s="4"/>
      <c r="N676" s="1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</row>
    <row r="677" spans="1:119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1"/>
      <c r="L677" s="18"/>
      <c r="M677" s="4"/>
      <c r="N677" s="1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</row>
    <row r="678" spans="1:119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1"/>
      <c r="L678" s="18"/>
      <c r="M678" s="4"/>
      <c r="N678" s="1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</row>
    <row r="679" spans="1:119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1"/>
      <c r="L679" s="18"/>
      <c r="M679" s="4"/>
      <c r="N679" s="1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</row>
    <row r="680" spans="1:119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1"/>
      <c r="L680" s="18"/>
      <c r="M680" s="4"/>
      <c r="N680" s="1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</row>
    <row r="681" spans="1:119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1"/>
      <c r="L681" s="18"/>
      <c r="M681" s="4"/>
      <c r="N681" s="1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</row>
    <row r="682" spans="1:119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1"/>
      <c r="L682" s="18"/>
      <c r="M682" s="4"/>
      <c r="N682" s="1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</row>
    <row r="683" spans="1:119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1"/>
      <c r="L683" s="18"/>
      <c r="M683" s="4"/>
      <c r="N683" s="1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</row>
    <row r="684" spans="1:119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1"/>
      <c r="L684" s="18"/>
      <c r="M684" s="4"/>
      <c r="N684" s="1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</row>
    <row r="685" spans="1:119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1"/>
      <c r="L685" s="18"/>
      <c r="M685" s="4"/>
      <c r="N685" s="1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</row>
    <row r="686" spans="1:119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1"/>
      <c r="L686" s="18"/>
      <c r="M686" s="4"/>
      <c r="N686" s="1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</row>
    <row r="687" spans="1:119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1"/>
      <c r="L687" s="18"/>
      <c r="M687" s="4"/>
      <c r="N687" s="1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</row>
    <row r="688" spans="1:119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1"/>
      <c r="L688" s="18"/>
      <c r="M688" s="4"/>
      <c r="N688" s="1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</row>
    <row r="689" spans="1:119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1"/>
      <c r="L689" s="18"/>
      <c r="M689" s="4"/>
      <c r="N689" s="1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</row>
    <row r="690" spans="1:119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1"/>
      <c r="L690" s="18"/>
      <c r="M690" s="4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</row>
    <row r="691" spans="1:119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1"/>
      <c r="L691" s="18"/>
      <c r="M691" s="4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</row>
    <row r="692" spans="1:119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1"/>
      <c r="L692" s="18"/>
      <c r="M692" s="4"/>
      <c r="N692" s="1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</row>
    <row r="693" spans="1:119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1"/>
      <c r="L693" s="18"/>
      <c r="M693" s="4"/>
      <c r="N693" s="1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</row>
    <row r="694" spans="1:119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1"/>
      <c r="L694" s="18"/>
      <c r="M694" s="4"/>
      <c r="N694" s="1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</row>
    <row r="695" spans="1:119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1"/>
      <c r="L695" s="18"/>
      <c r="M695" s="4"/>
      <c r="N695" s="1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</row>
    <row r="696" spans="1:119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1"/>
      <c r="L696" s="18"/>
      <c r="M696" s="4"/>
      <c r="N696" s="1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</row>
    <row r="697" spans="1:119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1"/>
      <c r="L697" s="18"/>
      <c r="M697" s="4"/>
      <c r="N697" s="1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</row>
    <row r="698" spans="1:119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1"/>
      <c r="L698" s="18"/>
      <c r="M698" s="4"/>
      <c r="N698" s="1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</row>
    <row r="699" spans="1:119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1"/>
      <c r="L699" s="18"/>
      <c r="M699" s="4"/>
      <c r="N699" s="1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</row>
    <row r="700" spans="1:119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1"/>
      <c r="L700" s="18"/>
      <c r="M700" s="4"/>
      <c r="N700" s="1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</row>
    <row r="701" spans="1:119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1"/>
      <c r="L701" s="18"/>
      <c r="M701" s="4"/>
      <c r="N701" s="1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</row>
    <row r="702" spans="1:119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1"/>
      <c r="L702" s="18"/>
      <c r="M702" s="4"/>
      <c r="N702" s="1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</row>
    <row r="703" spans="1:119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1"/>
      <c r="L703" s="18"/>
      <c r="M703" s="4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</row>
    <row r="704" spans="1:119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1"/>
      <c r="L704" s="18"/>
      <c r="M704" s="4"/>
      <c r="N704" s="1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</row>
    <row r="705" spans="1:119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1"/>
      <c r="L705" s="18"/>
      <c r="M705" s="4"/>
      <c r="N705" s="1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</row>
    <row r="706" spans="1:119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1"/>
      <c r="L706" s="18"/>
      <c r="M706" s="4"/>
      <c r="N706" s="1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</row>
    <row r="707" spans="1:119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1"/>
      <c r="L707" s="18"/>
      <c r="M707" s="4"/>
      <c r="N707" s="1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</row>
    <row r="708" spans="1:119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1"/>
      <c r="L708" s="18"/>
      <c r="M708" s="4"/>
      <c r="N708" s="1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</row>
    <row r="709" spans="1:119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1"/>
      <c r="L709" s="18"/>
      <c r="M709" s="4"/>
      <c r="N709" s="1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</row>
    <row r="710" spans="1:119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1"/>
      <c r="L710" s="18"/>
      <c r="M710" s="4"/>
      <c r="N710" s="1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</row>
    <row r="711" spans="1:119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1"/>
      <c r="L711" s="18"/>
      <c r="M711" s="4"/>
      <c r="N711" s="1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</row>
    <row r="712" spans="1:119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1"/>
      <c r="L712" s="18"/>
      <c r="M712" s="4"/>
      <c r="N712" s="1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</row>
    <row r="713" spans="1:119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1"/>
      <c r="L713" s="18"/>
      <c r="M713" s="4"/>
      <c r="N713" s="1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</row>
    <row r="714" spans="1:119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1"/>
      <c r="L714" s="18"/>
      <c r="M714" s="4"/>
      <c r="N714" s="1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</row>
    <row r="715" spans="1:119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1"/>
      <c r="L715" s="18"/>
      <c r="M715" s="4"/>
      <c r="N715" s="1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</row>
    <row r="716" spans="1:119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1"/>
      <c r="L716" s="18"/>
      <c r="M716" s="4"/>
      <c r="N716" s="1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</row>
    <row r="717" spans="1:119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1"/>
      <c r="L717" s="18"/>
      <c r="M717" s="4"/>
      <c r="N717" s="1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</row>
    <row r="718" spans="1:119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1"/>
      <c r="L718" s="18"/>
      <c r="M718" s="4"/>
      <c r="N718" s="1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</row>
    <row r="719" spans="1:119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1"/>
      <c r="L719" s="18"/>
      <c r="M719" s="4"/>
      <c r="N719" s="1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</row>
    <row r="720" spans="1:119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1"/>
      <c r="L720" s="18"/>
      <c r="M720" s="4"/>
      <c r="N720" s="1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</row>
    <row r="721" spans="1:119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1"/>
      <c r="L721" s="18"/>
      <c r="M721" s="4"/>
      <c r="N721" s="1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</row>
    <row r="722" spans="1:119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1"/>
      <c r="L722" s="18"/>
      <c r="M722" s="4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</row>
    <row r="723" spans="1:119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1"/>
      <c r="L723" s="18"/>
      <c r="M723" s="4"/>
      <c r="N723" s="1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</row>
    <row r="724" spans="1:119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1"/>
      <c r="L724" s="18"/>
      <c r="M724" s="4"/>
      <c r="N724" s="1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</row>
    <row r="725" spans="1:119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1"/>
      <c r="L725" s="18"/>
      <c r="M725" s="4"/>
      <c r="N725" s="1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</row>
    <row r="726" spans="1:119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1"/>
      <c r="L726" s="18"/>
      <c r="M726" s="4"/>
      <c r="N726" s="1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</row>
    <row r="727" spans="1:119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1"/>
      <c r="L727" s="18"/>
      <c r="M727" s="4"/>
      <c r="N727" s="1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</row>
    <row r="728" spans="1:119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1"/>
      <c r="L728" s="18"/>
      <c r="M728" s="4"/>
      <c r="N728" s="1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</row>
    <row r="729" spans="1:119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1"/>
      <c r="L729" s="18"/>
      <c r="M729" s="4"/>
      <c r="N729" s="1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</row>
    <row r="730" spans="1:119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1"/>
      <c r="L730" s="18"/>
      <c r="M730" s="4"/>
      <c r="N730" s="1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</row>
    <row r="731" spans="1:119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1"/>
      <c r="L731" s="18"/>
      <c r="M731" s="4"/>
      <c r="N731" s="1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</row>
    <row r="732" spans="1:119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1"/>
      <c r="L732" s="18"/>
      <c r="M732" s="4"/>
      <c r="N732" s="1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</row>
    <row r="733" spans="1:119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1"/>
      <c r="L733" s="18"/>
      <c r="M733" s="4"/>
      <c r="N733" s="1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</row>
    <row r="734" spans="1:119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1"/>
      <c r="L734" s="18"/>
      <c r="M734" s="4"/>
      <c r="N734" s="1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</row>
    <row r="735" spans="1:119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1"/>
      <c r="L735" s="18"/>
      <c r="M735" s="4"/>
      <c r="N735" s="1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</row>
    <row r="736" spans="1:119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1"/>
      <c r="L736" s="18"/>
      <c r="M736" s="4"/>
      <c r="N736" s="1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</row>
    <row r="737" spans="1:119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1"/>
      <c r="L737" s="18"/>
      <c r="M737" s="4"/>
      <c r="N737" s="1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</row>
    <row r="738" spans="1:119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1"/>
      <c r="L738" s="18"/>
      <c r="M738" s="4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</row>
    <row r="739" spans="1:119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1"/>
      <c r="L739" s="18"/>
      <c r="M739" s="4"/>
      <c r="N739" s="1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</row>
    <row r="740" spans="1:119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1"/>
      <c r="L740" s="18"/>
      <c r="M740" s="4"/>
      <c r="N740" s="1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</row>
    <row r="741" spans="1:119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1"/>
      <c r="L741" s="18"/>
      <c r="M741" s="4"/>
      <c r="N741" s="1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</row>
    <row r="742" spans="1:119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1"/>
      <c r="L742" s="18"/>
      <c r="M742" s="4"/>
      <c r="N742" s="1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</row>
    <row r="743" spans="1:119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1"/>
      <c r="L743" s="18"/>
      <c r="M743" s="4"/>
      <c r="N743" s="1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</row>
    <row r="744" spans="1:119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1"/>
      <c r="L744" s="18"/>
      <c r="M744" s="4"/>
      <c r="N744" s="1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</row>
    <row r="745" spans="1:119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1"/>
      <c r="L745" s="18"/>
      <c r="M745" s="4"/>
      <c r="N745" s="1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</row>
    <row r="746" spans="1:119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1"/>
      <c r="L746" s="18"/>
      <c r="M746" s="4"/>
      <c r="N746" s="1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</row>
    <row r="747" spans="1:119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1"/>
      <c r="L747" s="18"/>
      <c r="M747" s="4"/>
      <c r="N747" s="1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</row>
    <row r="748" spans="1:119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1"/>
      <c r="L748" s="18"/>
      <c r="M748" s="4"/>
      <c r="N748" s="1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</row>
    <row r="749" spans="1:119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1"/>
      <c r="L749" s="18"/>
      <c r="M749" s="4"/>
      <c r="N749" s="1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</row>
    <row r="750" spans="1:119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1"/>
      <c r="L750" s="18"/>
      <c r="M750" s="4"/>
      <c r="N750" s="1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</row>
    <row r="751" spans="1:119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1"/>
      <c r="L751" s="18"/>
      <c r="M751" s="4"/>
      <c r="N751" s="1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</row>
    <row r="752" spans="1:119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1"/>
      <c r="L752" s="18"/>
      <c r="M752" s="4"/>
      <c r="N752" s="1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</row>
    <row r="753" spans="1:119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1"/>
      <c r="L753" s="18"/>
      <c r="M753" s="4"/>
      <c r="N753" s="1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</row>
    <row r="754" spans="1:119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1"/>
      <c r="L754" s="18"/>
      <c r="M754" s="4"/>
      <c r="N754" s="1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</row>
    <row r="755" spans="1:119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1"/>
      <c r="L755" s="18"/>
      <c r="M755" s="4"/>
      <c r="N755" s="1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</row>
    <row r="756" spans="1:119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1"/>
      <c r="L756" s="18"/>
      <c r="M756" s="4"/>
      <c r="N756" s="1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</row>
    <row r="757" spans="1:119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1"/>
      <c r="L757" s="18"/>
      <c r="M757" s="4"/>
      <c r="N757" s="1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</row>
    <row r="758" spans="1:119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1"/>
      <c r="L758" s="18"/>
      <c r="M758" s="4"/>
      <c r="N758" s="1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</row>
    <row r="759" spans="1:119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1"/>
      <c r="L759" s="18"/>
      <c r="M759" s="4"/>
      <c r="N759" s="1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</row>
    <row r="760" spans="1:119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1"/>
      <c r="L760" s="18"/>
      <c r="M760" s="4"/>
      <c r="N760" s="1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</row>
    <row r="761" spans="1:119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1"/>
      <c r="L761" s="18"/>
      <c r="M761" s="4"/>
      <c r="N761" s="1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</row>
    <row r="762" spans="1:119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1"/>
      <c r="L762" s="18"/>
      <c r="M762" s="4"/>
      <c r="N762" s="1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</row>
    <row r="763" spans="1:119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1"/>
      <c r="L763" s="18"/>
      <c r="M763" s="4"/>
      <c r="N763" s="1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</row>
    <row r="764" spans="1:119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1"/>
      <c r="L764" s="18"/>
      <c r="M764" s="4"/>
      <c r="N764" s="1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</row>
    <row r="765" spans="1:119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1"/>
      <c r="L765" s="18"/>
      <c r="M765" s="4"/>
      <c r="N765" s="1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</row>
    <row r="766" spans="1:119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1"/>
      <c r="L766" s="18"/>
      <c r="M766" s="4"/>
      <c r="N766" s="1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</row>
    <row r="767" spans="1:119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1"/>
      <c r="L767" s="18"/>
      <c r="M767" s="4"/>
      <c r="N767" s="1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</row>
    <row r="768" spans="1:119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1"/>
      <c r="L768" s="18"/>
      <c r="M768" s="4"/>
      <c r="N768" s="1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</row>
    <row r="769" spans="1:119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1"/>
      <c r="L769" s="18"/>
      <c r="M769" s="4"/>
      <c r="N769" s="1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</row>
    <row r="770" spans="1:119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1"/>
      <c r="L770" s="18"/>
      <c r="M770" s="4"/>
      <c r="N770" s="1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</row>
    <row r="771" spans="1:119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1"/>
      <c r="L771" s="18"/>
      <c r="M771" s="4"/>
      <c r="N771" s="1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</row>
    <row r="772" spans="1:119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1"/>
      <c r="L772" s="18"/>
      <c r="M772" s="4"/>
      <c r="N772" s="1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</row>
    <row r="773" spans="1:119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1"/>
      <c r="L773" s="18"/>
      <c r="M773" s="4"/>
      <c r="N773" s="1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</row>
    <row r="774" spans="1:119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1"/>
      <c r="L774" s="18"/>
      <c r="M774" s="4"/>
      <c r="N774" s="1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</row>
    <row r="775" spans="1:119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1"/>
      <c r="L775" s="18"/>
      <c r="M775" s="4"/>
      <c r="N775" s="1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</row>
    <row r="776" spans="1:119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1"/>
      <c r="L776" s="18"/>
      <c r="M776" s="4"/>
      <c r="N776" s="1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</row>
    <row r="777" spans="1:119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1"/>
      <c r="L777" s="18"/>
      <c r="M777" s="4"/>
      <c r="N777" s="1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</row>
    <row r="778" spans="1:119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1"/>
      <c r="L778" s="18"/>
      <c r="M778" s="4"/>
      <c r="N778" s="1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</row>
    <row r="779" spans="1:119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1"/>
      <c r="L779" s="18"/>
      <c r="M779" s="4"/>
      <c r="N779" s="1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</row>
    <row r="780" spans="1:119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1"/>
      <c r="L780" s="18"/>
      <c r="M780" s="4"/>
      <c r="N780" s="1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</row>
    <row r="781" spans="1:119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1"/>
      <c r="L781" s="18"/>
      <c r="M781" s="4"/>
      <c r="N781" s="1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</row>
    <row r="782" spans="1:119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1"/>
      <c r="L782" s="18"/>
      <c r="M782" s="4"/>
      <c r="N782" s="1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</row>
    <row r="783" spans="1:119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1"/>
      <c r="L783" s="18"/>
      <c r="M783" s="4"/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</row>
    <row r="784" spans="1:119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1"/>
      <c r="L784" s="18"/>
      <c r="M784" s="4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</row>
    <row r="785" spans="1:119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1"/>
      <c r="L785" s="18"/>
      <c r="M785" s="4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</row>
    <row r="786" spans="1:119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1"/>
      <c r="L786" s="18"/>
      <c r="M786" s="4"/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</row>
    <row r="787" spans="1:119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1"/>
      <c r="L787" s="18"/>
      <c r="M787" s="4"/>
      <c r="N787" s="1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</row>
    <row r="788" spans="1:119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1"/>
      <c r="L788" s="18"/>
      <c r="M788" s="4"/>
      <c r="N788" s="1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</row>
    <row r="789" spans="1:119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1"/>
      <c r="L789" s="18"/>
      <c r="M789" s="4"/>
      <c r="N789" s="1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</row>
    <row r="790" spans="1:119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1"/>
      <c r="L790" s="18"/>
      <c r="M790" s="4"/>
      <c r="N790" s="1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</row>
    <row r="791" spans="1:119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1"/>
      <c r="L791" s="18"/>
      <c r="M791" s="4"/>
      <c r="N791" s="1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</row>
    <row r="792" spans="1:119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1"/>
      <c r="L792" s="18"/>
      <c r="M792" s="4"/>
      <c r="N792" s="1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</row>
    <row r="793" spans="1:119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1"/>
      <c r="L793" s="18"/>
      <c r="M793" s="4"/>
      <c r="N793" s="1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</row>
    <row r="794" spans="1:119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1"/>
      <c r="L794" s="18"/>
      <c r="M794" s="4"/>
      <c r="N794" s="1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</row>
    <row r="795" spans="1:119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1"/>
      <c r="L795" s="18"/>
      <c r="M795" s="4"/>
      <c r="N795" s="1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</row>
    <row r="796" spans="1:119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1"/>
      <c r="L796" s="18"/>
      <c r="M796" s="4"/>
      <c r="N796" s="1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</row>
    <row r="797" spans="1:119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1"/>
      <c r="L797" s="18"/>
      <c r="M797" s="4"/>
      <c r="N797" s="1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</row>
    <row r="798" spans="1:119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1"/>
      <c r="L798" s="18"/>
      <c r="M798" s="4"/>
      <c r="N798" s="1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</row>
    <row r="799" spans="1:119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1"/>
      <c r="L799" s="18"/>
      <c r="M799" s="4"/>
      <c r="N799" s="1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</row>
    <row r="800" spans="1:119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1"/>
      <c r="L800" s="18"/>
      <c r="M800" s="4"/>
      <c r="N800" s="1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</row>
    <row r="801" spans="1:119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1"/>
      <c r="L801" s="18"/>
      <c r="M801" s="4"/>
      <c r="N801" s="1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</row>
    <row r="802" spans="1:119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1"/>
      <c r="L802" s="18"/>
      <c r="M802" s="4"/>
      <c r="N802" s="1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</row>
    <row r="803" spans="1:119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1"/>
      <c r="L803" s="18"/>
      <c r="M803" s="4"/>
      <c r="N803" s="1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</row>
    <row r="804" spans="1:119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1"/>
      <c r="L804" s="18"/>
      <c r="M804" s="4"/>
      <c r="N804" s="1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</row>
    <row r="805" spans="1:119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1"/>
      <c r="L805" s="18"/>
      <c r="M805" s="4"/>
      <c r="N805" s="1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</row>
    <row r="806" spans="1:119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1"/>
      <c r="L806" s="18"/>
      <c r="M806" s="4"/>
      <c r="N806" s="1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</row>
    <row r="807" spans="1:119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1"/>
      <c r="L807" s="18"/>
      <c r="M807" s="4"/>
      <c r="N807" s="1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</row>
    <row r="808" spans="1:119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1"/>
      <c r="L808" s="18"/>
      <c r="M808" s="4"/>
      <c r="N808" s="1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</row>
    <row r="809" spans="1:119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1"/>
      <c r="L809" s="18"/>
      <c r="M809" s="4"/>
      <c r="N809" s="1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</row>
    <row r="810" spans="1:119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1"/>
      <c r="L810" s="18"/>
      <c r="M810" s="4"/>
      <c r="N810" s="1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</row>
    <row r="811" spans="1:119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1"/>
      <c r="L811" s="18"/>
      <c r="M811" s="4"/>
      <c r="N811" s="1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</row>
    <row r="812" spans="1:119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1"/>
      <c r="L812" s="18"/>
      <c r="M812" s="4"/>
      <c r="N812" s="1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</row>
    <row r="813" spans="1:119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1"/>
      <c r="L813" s="18"/>
      <c r="M813" s="4"/>
      <c r="N813" s="1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</row>
    <row r="814" spans="1:119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1"/>
      <c r="L814" s="18"/>
      <c r="M814" s="4"/>
      <c r="N814" s="1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</row>
    <row r="815" spans="1:119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1"/>
      <c r="L815" s="18"/>
      <c r="M815" s="4"/>
      <c r="N815" s="1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</row>
    <row r="816" spans="1:119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1"/>
      <c r="L816" s="18"/>
      <c r="M816" s="4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</row>
    <row r="817" spans="1:119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1"/>
      <c r="L817" s="18"/>
      <c r="M817" s="4"/>
      <c r="N817" s="1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</row>
    <row r="818" spans="1:119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1"/>
      <c r="L818" s="18"/>
      <c r="M818" s="4"/>
      <c r="N818" s="1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</row>
    <row r="819" spans="1:119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1"/>
      <c r="L819" s="18"/>
      <c r="M819" s="4"/>
      <c r="N819" s="1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</row>
    <row r="820" spans="1:119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1"/>
      <c r="L820" s="18"/>
      <c r="M820" s="4"/>
      <c r="N820" s="1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</row>
    <row r="821" spans="1:119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1"/>
      <c r="L821" s="18"/>
      <c r="M821" s="4"/>
      <c r="N821" s="1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</row>
    <row r="822" spans="1:119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1"/>
      <c r="L822" s="18"/>
      <c r="M822" s="4"/>
      <c r="N822" s="1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</row>
    <row r="823" spans="1:119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1"/>
      <c r="L823" s="18"/>
      <c r="M823" s="4"/>
      <c r="N823" s="1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</row>
    <row r="824" spans="1:119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1"/>
      <c r="L824" s="18"/>
      <c r="M824" s="4"/>
      <c r="N824" s="1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</row>
    <row r="825" spans="1:119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1"/>
      <c r="L825" s="18"/>
      <c r="M825" s="4"/>
      <c r="N825" s="1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</row>
    <row r="826" spans="1:119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1"/>
      <c r="L826" s="18"/>
      <c r="M826" s="4"/>
      <c r="N826" s="1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</row>
    <row r="827" spans="1:119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1"/>
      <c r="L827" s="18"/>
      <c r="M827" s="4"/>
      <c r="N827" s="1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</row>
    <row r="828" spans="1:119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1"/>
      <c r="L828" s="18"/>
      <c r="M828" s="4"/>
      <c r="N828" s="1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</row>
    <row r="829" spans="1:119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1"/>
      <c r="L829" s="18"/>
      <c r="M829" s="4"/>
      <c r="N829" s="1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</row>
    <row r="830" spans="1:119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1"/>
      <c r="L830" s="18"/>
      <c r="M830" s="4"/>
      <c r="N830" s="1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</row>
    <row r="831" spans="1:119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1"/>
      <c r="L831" s="18"/>
      <c r="M831" s="4"/>
      <c r="N831" s="1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</row>
    <row r="832" spans="1:119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1"/>
      <c r="L832" s="18"/>
      <c r="M832" s="4"/>
      <c r="N832" s="1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</row>
    <row r="833" spans="1:119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1"/>
      <c r="L833" s="18"/>
      <c r="M833" s="4"/>
      <c r="N833" s="1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</row>
    <row r="834" spans="1:119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1"/>
      <c r="L834" s="18"/>
      <c r="M834" s="4"/>
      <c r="N834" s="1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</row>
    <row r="835" spans="1:119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1"/>
      <c r="L835" s="18"/>
      <c r="M835" s="4"/>
      <c r="N835" s="1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</row>
    <row r="836" spans="1:119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1"/>
      <c r="L836" s="18"/>
      <c r="M836" s="4"/>
      <c r="N836" s="1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</row>
    <row r="837" spans="1:119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1"/>
      <c r="L837" s="18"/>
      <c r="M837" s="4"/>
      <c r="N837" s="1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</row>
    <row r="838" spans="1:119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1"/>
      <c r="L838" s="18"/>
      <c r="M838" s="4"/>
      <c r="N838" s="1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</row>
    <row r="839" spans="1:119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1"/>
      <c r="L839" s="18"/>
      <c r="M839" s="4"/>
      <c r="N839" s="1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</row>
    <row r="840" spans="1:119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1"/>
      <c r="L840" s="18"/>
      <c r="M840" s="4"/>
      <c r="N840" s="1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</row>
    <row r="841" spans="1:119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1"/>
      <c r="L841" s="18"/>
      <c r="M841" s="4"/>
      <c r="N841" s="1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</row>
    <row r="842" spans="1:119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1"/>
      <c r="L842" s="18"/>
      <c r="M842" s="4"/>
      <c r="N842" s="1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</row>
    <row r="843" spans="1:119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1"/>
      <c r="L843" s="18"/>
      <c r="M843" s="4"/>
      <c r="N843" s="1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</row>
    <row r="844" spans="1:119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1"/>
      <c r="L844" s="18"/>
      <c r="M844" s="4"/>
      <c r="N844" s="1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</row>
    <row r="845" spans="1:119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1"/>
      <c r="L845" s="18"/>
      <c r="M845" s="4"/>
      <c r="N845" s="1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</row>
    <row r="846" spans="1:119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1"/>
      <c r="L846" s="18"/>
      <c r="M846" s="4"/>
      <c r="N846" s="1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</row>
    <row r="847" spans="1:119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1"/>
      <c r="L847" s="18"/>
      <c r="M847" s="4"/>
      <c r="N847" s="1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</row>
    <row r="848" spans="1:119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1"/>
      <c r="L848" s="18"/>
      <c r="M848" s="4"/>
      <c r="N848" s="1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</row>
    <row r="849" spans="1:119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1"/>
      <c r="L849" s="18"/>
      <c r="M849" s="4"/>
      <c r="N849" s="1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</row>
    <row r="850" spans="1:119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1"/>
      <c r="L850" s="18"/>
      <c r="M850" s="4"/>
      <c r="N850" s="1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</row>
    <row r="851" spans="1:119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1"/>
      <c r="L851" s="18"/>
      <c r="M851" s="4"/>
      <c r="N851" s="1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</row>
    <row r="852" spans="1:119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1"/>
      <c r="L852" s="18"/>
      <c r="M852" s="4"/>
      <c r="N852" s="1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</row>
    <row r="853" spans="1:119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1"/>
      <c r="L853" s="18"/>
      <c r="M853" s="4"/>
      <c r="N853" s="1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</row>
    <row r="854" spans="1:119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1"/>
      <c r="L854" s="18"/>
      <c r="M854" s="4"/>
      <c r="N854" s="1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</row>
    <row r="855" spans="1:119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1"/>
      <c r="L855" s="18"/>
      <c r="M855" s="4"/>
      <c r="N855" s="1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</row>
    <row r="856" spans="1:119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1"/>
      <c r="L856" s="18"/>
      <c r="M856" s="4"/>
      <c r="N856" s="1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</row>
    <row r="857" spans="1:119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1"/>
      <c r="L857" s="18"/>
      <c r="M857" s="4"/>
      <c r="N857" s="1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</row>
    <row r="858" spans="1:119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1"/>
      <c r="L858" s="18"/>
      <c r="M858" s="4"/>
      <c r="N858" s="1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</row>
    <row r="859" spans="1:119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1"/>
      <c r="L859" s="18"/>
      <c r="M859" s="4"/>
      <c r="N859" s="1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</row>
    <row r="860" spans="1:119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1"/>
      <c r="L860" s="18"/>
      <c r="M860" s="4"/>
      <c r="N860" s="1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</row>
    <row r="861" spans="1:119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1"/>
      <c r="L861" s="18"/>
      <c r="M861" s="4"/>
      <c r="N861" s="1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</row>
    <row r="862" spans="1:119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1"/>
      <c r="L862" s="18"/>
      <c r="M862" s="4"/>
      <c r="N862" s="1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</row>
    <row r="863" spans="1:119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1"/>
      <c r="L863" s="18"/>
      <c r="M863" s="4"/>
      <c r="N863" s="1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</row>
    <row r="864" spans="1:119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1"/>
      <c r="L864" s="18"/>
      <c r="M864" s="4"/>
      <c r="N864" s="1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</row>
    <row r="865" spans="1:119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1"/>
      <c r="L865" s="18"/>
      <c r="M865" s="4"/>
      <c r="N865" s="1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</row>
    <row r="866" spans="1:119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1"/>
      <c r="L866" s="18"/>
      <c r="M866" s="4"/>
      <c r="N866" s="1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</row>
    <row r="867" spans="1:119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1"/>
      <c r="L867" s="18"/>
      <c r="M867" s="4"/>
      <c r="N867" s="1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</row>
    <row r="868" spans="1:119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1"/>
      <c r="L868" s="18"/>
      <c r="M868" s="4"/>
      <c r="N868" s="1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</row>
    <row r="869" spans="1:119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1"/>
      <c r="L869" s="18"/>
      <c r="M869" s="4"/>
      <c r="N869" s="1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</row>
    <row r="870" spans="1:119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1"/>
      <c r="L870" s="18"/>
      <c r="M870" s="4"/>
      <c r="N870" s="1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</row>
    <row r="871" spans="1:119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1"/>
      <c r="L871" s="18"/>
      <c r="M871" s="4"/>
      <c r="N871" s="1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</row>
    <row r="872" spans="1:119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1"/>
      <c r="L872" s="18"/>
      <c r="M872" s="4"/>
      <c r="N872" s="1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</row>
    <row r="873" spans="1:119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1"/>
      <c r="L873" s="18"/>
      <c r="M873" s="4"/>
      <c r="N873" s="1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</row>
    <row r="874" spans="1:119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1"/>
      <c r="L874" s="18"/>
      <c r="M874" s="4"/>
      <c r="N874" s="1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</row>
    <row r="875" spans="1:119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1"/>
      <c r="L875" s="18"/>
      <c r="M875" s="4"/>
      <c r="N875" s="1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</row>
    <row r="876" spans="1:119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1"/>
      <c r="L876" s="18"/>
      <c r="M876" s="4"/>
      <c r="N876" s="1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</row>
    <row r="877" spans="1:119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1"/>
      <c r="L877" s="18"/>
      <c r="M877" s="4"/>
      <c r="N877" s="1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</row>
    <row r="878" spans="1:119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1"/>
      <c r="L878" s="18"/>
      <c r="M878" s="4"/>
      <c r="N878" s="1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</row>
    <row r="879" spans="1:119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1"/>
      <c r="L879" s="18"/>
      <c r="M879" s="4"/>
      <c r="N879" s="1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</row>
    <row r="880" spans="1:119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18"/>
      <c r="M880" s="4"/>
      <c r="N880" s="1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</row>
    <row r="881" spans="1:119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1"/>
      <c r="L881" s="18"/>
      <c r="M881" s="4"/>
      <c r="N881" s="1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</row>
    <row r="882" spans="1:119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1"/>
      <c r="L882" s="18"/>
      <c r="M882" s="4"/>
      <c r="N882" s="1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</row>
    <row r="883" spans="1:119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1"/>
      <c r="L883" s="18"/>
      <c r="M883" s="4"/>
      <c r="N883" s="1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</row>
    <row r="884" spans="1:119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1"/>
      <c r="L884" s="18"/>
      <c r="M884" s="4"/>
      <c r="N884" s="1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</row>
    <row r="885" spans="1:119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1"/>
      <c r="L885" s="18"/>
      <c r="M885" s="4"/>
      <c r="N885" s="1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</row>
    <row r="886" spans="1:119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1"/>
      <c r="L886" s="18"/>
      <c r="M886" s="4"/>
      <c r="N886" s="1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</row>
    <row r="887" spans="1:119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1"/>
      <c r="L887" s="18"/>
      <c r="M887" s="4"/>
      <c r="N887" s="1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</row>
    <row r="888" spans="1:119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1"/>
      <c r="L888" s="18"/>
      <c r="M888" s="4"/>
      <c r="N888" s="1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</row>
    <row r="889" spans="1:119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1"/>
      <c r="L889" s="18"/>
      <c r="M889" s="4"/>
      <c r="N889" s="1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</row>
    <row r="890" spans="1:119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1"/>
      <c r="L890" s="18"/>
      <c r="M890" s="4"/>
      <c r="N890" s="1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</row>
    <row r="891" spans="1:119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1"/>
      <c r="L891" s="18"/>
      <c r="M891" s="4"/>
      <c r="N891" s="1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</row>
    <row r="892" spans="1:119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1"/>
      <c r="L892" s="18"/>
      <c r="M892" s="4"/>
      <c r="N892" s="1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</row>
    <row r="893" spans="1:119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1"/>
      <c r="L893" s="18"/>
      <c r="M893" s="4"/>
      <c r="N893" s="1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</row>
    <row r="894" spans="1:119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1"/>
      <c r="L894" s="18"/>
      <c r="M894" s="4"/>
      <c r="N894" s="1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</row>
    <row r="895" spans="1:119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1"/>
      <c r="L895" s="18"/>
      <c r="M895" s="4"/>
      <c r="N895" s="1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</row>
    <row r="896" spans="1:119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1"/>
      <c r="L896" s="18"/>
      <c r="M896" s="4"/>
      <c r="N896" s="1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</row>
    <row r="897" spans="1:119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1"/>
      <c r="L897" s="18"/>
      <c r="M897" s="4"/>
      <c r="N897" s="1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</row>
    <row r="898" spans="1:119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1"/>
      <c r="L898" s="18"/>
      <c r="M898" s="4"/>
      <c r="N898" s="1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</row>
    <row r="899" spans="1:119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1"/>
      <c r="L899" s="18"/>
      <c r="M899" s="4"/>
      <c r="N899" s="1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</row>
    <row r="900" spans="1:119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1"/>
      <c r="L900" s="18"/>
      <c r="M900" s="4"/>
      <c r="N900" s="1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</row>
    <row r="901" spans="1:119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1"/>
      <c r="L901" s="18"/>
      <c r="M901" s="4"/>
      <c r="N901" s="1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</row>
    <row r="902" spans="1:119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1"/>
      <c r="L902" s="18"/>
      <c r="M902" s="4"/>
      <c r="N902" s="1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</row>
    <row r="903" spans="1:119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1"/>
      <c r="L903" s="18"/>
      <c r="M903" s="4"/>
      <c r="N903" s="1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</row>
    <row r="904" spans="1:119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1"/>
      <c r="L904" s="18"/>
      <c r="M904" s="4"/>
      <c r="N904" s="1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</row>
    <row r="905" spans="1:119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1"/>
      <c r="L905" s="18"/>
      <c r="M905" s="4"/>
      <c r="N905" s="1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</row>
    <row r="906" spans="1:119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1"/>
      <c r="L906" s="18"/>
      <c r="M906" s="4"/>
      <c r="N906" s="1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</row>
    <row r="907" spans="1:119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1"/>
      <c r="L907" s="18"/>
      <c r="M907" s="4"/>
      <c r="N907" s="1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</row>
    <row r="908" spans="1:119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1"/>
      <c r="L908" s="18"/>
      <c r="M908" s="4"/>
      <c r="N908" s="1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</row>
    <row r="909" spans="1:119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1"/>
      <c r="L909" s="18"/>
      <c r="M909" s="4"/>
      <c r="N909" s="1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</row>
    <row r="910" spans="1:119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1"/>
      <c r="L910" s="18"/>
      <c r="M910" s="4"/>
      <c r="N910" s="1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</row>
    <row r="911" spans="1:119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1"/>
      <c r="L911" s="18"/>
      <c r="M911" s="4"/>
      <c r="N911" s="1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</row>
    <row r="912" spans="1:119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1"/>
      <c r="L912" s="18"/>
      <c r="M912" s="4"/>
      <c r="N912" s="1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</row>
    <row r="913" spans="1:119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1"/>
      <c r="L913" s="18"/>
      <c r="M913" s="4"/>
      <c r="N913" s="1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</row>
    <row r="914" spans="1:119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1"/>
      <c r="L914" s="18"/>
      <c r="M914" s="4"/>
      <c r="N914" s="1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</row>
    <row r="915" spans="1:119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1"/>
      <c r="L915" s="18"/>
      <c r="M915" s="4"/>
      <c r="N915" s="1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</row>
    <row r="916" spans="1:119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1"/>
      <c r="L916" s="18"/>
      <c r="M916" s="4"/>
      <c r="N916" s="1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</row>
    <row r="917" spans="1:119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1"/>
      <c r="L917" s="18"/>
      <c r="M917" s="4"/>
      <c r="N917" s="1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</row>
    <row r="918" spans="1:119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1"/>
      <c r="L918" s="18"/>
      <c r="M918" s="4"/>
      <c r="N918" s="1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</row>
    <row r="919" spans="1:119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1"/>
      <c r="L919" s="18"/>
      <c r="M919" s="4"/>
      <c r="N919" s="1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</row>
    <row r="920" spans="1:119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1"/>
      <c r="L920" s="18"/>
      <c r="M920" s="4"/>
      <c r="N920" s="1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</row>
    <row r="921" spans="1:119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1"/>
      <c r="L921" s="18"/>
      <c r="M921" s="4"/>
      <c r="N921" s="1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</row>
    <row r="922" spans="1:119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1"/>
      <c r="L922" s="18"/>
      <c r="M922" s="4"/>
      <c r="N922" s="1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</row>
    <row r="923" spans="1:119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1"/>
      <c r="L923" s="18"/>
      <c r="M923" s="4"/>
      <c r="N923" s="1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</row>
    <row r="924" spans="1:119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1"/>
      <c r="L924" s="18"/>
      <c r="M924" s="4"/>
      <c r="N924" s="1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</row>
    <row r="925" spans="1:119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1"/>
      <c r="L925" s="18"/>
      <c r="M925" s="4"/>
      <c r="N925" s="1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</row>
    <row r="926" spans="1:119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1"/>
      <c r="L926" s="18"/>
      <c r="M926" s="4"/>
      <c r="N926" s="1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</row>
    <row r="927" spans="1:119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1"/>
      <c r="L927" s="18"/>
      <c r="M927" s="4"/>
      <c r="N927" s="1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</row>
    <row r="928" spans="1:119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1"/>
      <c r="L928" s="18"/>
      <c r="M928" s="4"/>
      <c r="N928" s="1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</row>
    <row r="929" spans="1:119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1"/>
      <c r="L929" s="18"/>
      <c r="M929" s="4"/>
      <c r="N929" s="1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</row>
    <row r="930" spans="1:119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1"/>
      <c r="L930" s="18"/>
      <c r="M930" s="4"/>
      <c r="N930" s="1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</row>
    <row r="931" spans="1:119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1"/>
      <c r="L931" s="18"/>
      <c r="M931" s="4"/>
      <c r="N931" s="1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</row>
    <row r="932" spans="1:119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1"/>
      <c r="L932" s="18"/>
      <c r="M932" s="4"/>
      <c r="N932" s="1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</row>
    <row r="933" spans="1:119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1"/>
      <c r="L933" s="18"/>
      <c r="M933" s="4"/>
      <c r="N933" s="1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</row>
    <row r="934" spans="1:119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1"/>
      <c r="L934" s="18"/>
      <c r="M934" s="4"/>
      <c r="N934" s="1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</row>
    <row r="935" spans="1:119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1"/>
      <c r="L935" s="18"/>
      <c r="M935" s="4"/>
      <c r="N935" s="1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</row>
    <row r="936" spans="1:119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1"/>
      <c r="L936" s="18"/>
      <c r="M936" s="4"/>
      <c r="N936" s="1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</row>
    <row r="937" spans="1:119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1"/>
      <c r="L937" s="18"/>
      <c r="M937" s="4"/>
      <c r="N937" s="1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</row>
    <row r="938" spans="1:119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1"/>
      <c r="L938" s="18"/>
      <c r="M938" s="4"/>
      <c r="N938" s="1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</row>
    <row r="939" spans="1:119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1"/>
      <c r="L939" s="18"/>
      <c r="M939" s="4"/>
      <c r="N939" s="1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</row>
    <row r="940" spans="1:119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1"/>
      <c r="L940" s="18"/>
      <c r="M940" s="4"/>
      <c r="N940" s="1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</row>
    <row r="941" spans="1:119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1"/>
      <c r="L941" s="18"/>
      <c r="M941" s="4"/>
      <c r="N941" s="1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</row>
    <row r="942" spans="1:119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1"/>
      <c r="L942" s="18"/>
      <c r="M942" s="4"/>
      <c r="N942" s="1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</row>
    <row r="943" spans="1:119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1"/>
      <c r="L943" s="18"/>
      <c r="M943" s="4"/>
      <c r="N943" s="1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</row>
    <row r="944" spans="1:119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1"/>
      <c r="L944" s="18"/>
      <c r="M944" s="4"/>
      <c r="N944" s="1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</row>
    <row r="945" spans="1:119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1"/>
      <c r="L945" s="18"/>
      <c r="M945" s="4"/>
      <c r="N945" s="1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</row>
    <row r="946" spans="1:119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1"/>
      <c r="L946" s="18"/>
      <c r="M946" s="4"/>
      <c r="N946" s="1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</row>
    <row r="947" spans="1:119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1"/>
      <c r="L947" s="18"/>
      <c r="M947" s="4"/>
      <c r="N947" s="1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</row>
    <row r="948" spans="1:119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1"/>
      <c r="L948" s="18"/>
      <c r="M948" s="4"/>
      <c r="N948" s="1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</row>
    <row r="949" spans="1:119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1"/>
      <c r="L949" s="18"/>
      <c r="M949" s="4"/>
      <c r="N949" s="1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</row>
    <row r="950" spans="1:119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1"/>
      <c r="L950" s="18"/>
      <c r="M950" s="4"/>
      <c r="N950" s="1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</row>
    <row r="951" spans="1:119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1"/>
      <c r="L951" s="18"/>
      <c r="M951" s="4"/>
      <c r="N951" s="1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</row>
    <row r="952" spans="1:119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1"/>
      <c r="L952" s="18"/>
      <c r="M952" s="4"/>
      <c r="N952" s="1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</row>
    <row r="953" spans="1:119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1"/>
      <c r="L953" s="18"/>
      <c r="M953" s="4"/>
      <c r="N953" s="1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</row>
    <row r="954" spans="1:119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1"/>
      <c r="L954" s="18"/>
      <c r="M954" s="4"/>
      <c r="N954" s="1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</row>
    <row r="955" spans="1:119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1"/>
      <c r="L955" s="18"/>
      <c r="M955" s="4"/>
      <c r="N955" s="1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</row>
    <row r="956" spans="1:119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1"/>
      <c r="L956" s="18"/>
      <c r="M956" s="4"/>
      <c r="N956" s="1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</row>
    <row r="957" spans="1:119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1"/>
      <c r="L957" s="18"/>
      <c r="M957" s="4"/>
      <c r="N957" s="1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</row>
    <row r="958" spans="1:119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1"/>
      <c r="L958" s="18"/>
      <c r="M958" s="4"/>
      <c r="N958" s="1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</row>
    <row r="959" spans="1:119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1"/>
      <c r="L959" s="18"/>
      <c r="M959" s="4"/>
      <c r="N959" s="1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</row>
    <row r="960" spans="1:119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1"/>
      <c r="L960" s="18"/>
      <c r="M960" s="4"/>
      <c r="N960" s="1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</row>
    <row r="961" spans="1:119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1"/>
      <c r="L961" s="18"/>
      <c r="M961" s="4"/>
      <c r="N961" s="1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</row>
    <row r="962" spans="1:119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1"/>
      <c r="L962" s="18"/>
      <c r="M962" s="4"/>
      <c r="N962" s="1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</row>
    <row r="963" spans="1:119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1"/>
      <c r="L963" s="18"/>
      <c r="M963" s="4"/>
      <c r="N963" s="1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</row>
    <row r="964" spans="1:119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1"/>
      <c r="L964" s="18"/>
      <c r="M964" s="4"/>
      <c r="N964" s="1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</row>
    <row r="965" spans="1:119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1"/>
      <c r="L965" s="18"/>
      <c r="M965" s="4"/>
      <c r="N965" s="1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</row>
    <row r="966" spans="1:119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1"/>
      <c r="L966" s="18"/>
      <c r="M966" s="4"/>
      <c r="N966" s="1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</row>
    <row r="967" spans="1:119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1"/>
      <c r="L967" s="18"/>
      <c r="M967" s="4"/>
      <c r="N967" s="1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</row>
    <row r="968" spans="1:119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1"/>
      <c r="L968" s="18"/>
      <c r="M968" s="4"/>
      <c r="N968" s="1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</row>
    <row r="969" spans="1:119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1"/>
      <c r="L969" s="18"/>
      <c r="M969" s="4"/>
      <c r="N969" s="1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</row>
    <row r="970" spans="1:119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1"/>
      <c r="L970" s="18"/>
      <c r="M970" s="4"/>
      <c r="N970" s="1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</row>
    <row r="971" spans="1:119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1"/>
      <c r="L971" s="18"/>
      <c r="M971" s="4"/>
      <c r="N971" s="1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</row>
    <row r="972" spans="1:119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1"/>
      <c r="L972" s="18"/>
      <c r="M972" s="4"/>
      <c r="N972" s="1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</row>
    <row r="973" spans="1:119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1"/>
      <c r="L973" s="18"/>
      <c r="M973" s="4"/>
      <c r="N973" s="1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</row>
    <row r="974" spans="1:119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1"/>
      <c r="L974" s="18"/>
      <c r="M974" s="4"/>
      <c r="N974" s="1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</row>
    <row r="975" spans="1:119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1"/>
      <c r="L975" s="18"/>
      <c r="M975" s="4"/>
      <c r="N975" s="1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</row>
    <row r="976" spans="1:119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1"/>
      <c r="L976" s="18"/>
      <c r="M976" s="4"/>
      <c r="N976" s="1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</row>
    <row r="977" spans="1:119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1"/>
      <c r="L977" s="18"/>
      <c r="M977" s="4"/>
      <c r="N977" s="1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</row>
    <row r="978" spans="1:119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1"/>
      <c r="L978" s="18"/>
      <c r="M978" s="4"/>
      <c r="N978" s="1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</row>
    <row r="979" spans="1:119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1"/>
      <c r="L979" s="18"/>
      <c r="M979" s="4"/>
      <c r="N979" s="1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</row>
    <row r="980" spans="1:119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1"/>
      <c r="L980" s="18"/>
      <c r="M980" s="4"/>
      <c r="N980" s="1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</row>
    <row r="981" spans="1:119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1"/>
      <c r="L981" s="18"/>
      <c r="M981" s="4"/>
      <c r="N981" s="1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</row>
    <row r="982" spans="1:119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1"/>
      <c r="L982" s="18"/>
      <c r="M982" s="4"/>
      <c r="N982" s="1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</row>
    <row r="983" spans="1:119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1"/>
      <c r="L983" s="18"/>
      <c r="M983" s="4"/>
      <c r="N983" s="1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</row>
    <row r="984" spans="1:119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1"/>
      <c r="L984" s="18"/>
      <c r="M984" s="4"/>
      <c r="N984" s="1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</row>
    <row r="985" spans="1:119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1"/>
      <c r="L985" s="18"/>
      <c r="M985" s="4"/>
      <c r="N985" s="1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</row>
    <row r="986" spans="1:119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1"/>
      <c r="L986" s="18"/>
      <c r="M986" s="4"/>
      <c r="N986" s="1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</row>
    <row r="987" spans="1:119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1"/>
      <c r="L987" s="18"/>
      <c r="M987" s="4"/>
      <c r="N987" s="1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</row>
    <row r="988" spans="1:119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1"/>
      <c r="L988" s="18"/>
      <c r="M988" s="4"/>
      <c r="N988" s="1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</row>
    <row r="989" spans="1:119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1"/>
      <c r="L989" s="18"/>
      <c r="M989" s="4"/>
      <c r="N989" s="1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</row>
    <row r="990" spans="1:119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1"/>
      <c r="L990" s="18"/>
      <c r="M990" s="4"/>
      <c r="N990" s="1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</row>
    <row r="991" spans="1:119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1"/>
      <c r="L991" s="18"/>
      <c r="M991" s="4"/>
      <c r="N991" s="1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</row>
    <row r="992" spans="1:119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1"/>
      <c r="L992" s="18"/>
      <c r="M992" s="4"/>
      <c r="N992" s="1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</row>
    <row r="993" spans="1:119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1"/>
      <c r="L993" s="18"/>
      <c r="M993" s="4"/>
      <c r="N993" s="1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</row>
    <row r="994" spans="1:119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1"/>
      <c r="L994" s="18"/>
      <c r="M994" s="4"/>
      <c r="N994" s="1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</row>
    <row r="995" spans="1:119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1"/>
      <c r="L995" s="18"/>
      <c r="M995" s="4"/>
      <c r="N995" s="1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</row>
    <row r="996" spans="1:119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1"/>
      <c r="L996" s="18"/>
      <c r="M996" s="4"/>
      <c r="N996" s="1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</row>
    <row r="997" spans="1:119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1"/>
      <c r="L997" s="18"/>
      <c r="M997" s="4"/>
      <c r="N997" s="1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</row>
    <row r="998" spans="1:119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1"/>
      <c r="L998" s="18"/>
      <c r="M998" s="4"/>
      <c r="N998" s="1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</row>
    <row r="999" spans="1:119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1"/>
      <c r="L999" s="18"/>
      <c r="M999" s="4"/>
      <c r="N999" s="1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</row>
    <row r="1000" spans="1:119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1"/>
      <c r="L1000" s="18"/>
      <c r="M1000" s="4"/>
      <c r="N1000" s="1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</row>
    <row r="1001" spans="1:119" ht="14.2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1"/>
      <c r="L1001" s="18"/>
      <c r="M1001" s="4"/>
      <c r="N1001" s="1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</row>
    <row r="1002" spans="1:119" ht="14.2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1"/>
      <c r="L1002" s="18"/>
      <c r="M1002" s="4"/>
      <c r="N1002" s="1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</row>
    <row r="1003" spans="1:119" ht="14.2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2"/>
      <c r="J1003" s="2"/>
      <c r="K1003" s="1"/>
      <c r="L1003" s="18"/>
      <c r="M1003" s="4"/>
      <c r="N1003" s="1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</row>
    <row r="1004" spans="1:119" ht="14.2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2"/>
      <c r="J1004" s="2"/>
      <c r="K1004" s="1"/>
      <c r="L1004" s="18"/>
      <c r="M1004" s="4"/>
      <c r="N1004" s="1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</row>
    <row r="1005" spans="1:119" ht="14.2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2"/>
      <c r="J1005" s="2"/>
      <c r="K1005" s="1"/>
      <c r="L1005" s="18"/>
      <c r="M1005" s="4"/>
      <c r="N1005" s="1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</row>
    <row r="1006" spans="1:119" ht="14.2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2"/>
      <c r="J1006" s="2"/>
      <c r="K1006" s="1"/>
      <c r="L1006" s="18"/>
      <c r="M1006" s="4"/>
      <c r="N1006" s="1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</row>
    <row r="1007" spans="1:119" ht="14.2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2"/>
      <c r="J1007" s="2"/>
      <c r="K1007" s="1"/>
      <c r="L1007" s="18"/>
      <c r="M1007" s="4"/>
      <c r="N1007" s="1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</row>
    <row r="1008" spans="1:119" ht="14.2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2"/>
      <c r="J1008" s="2"/>
      <c r="K1008" s="1"/>
      <c r="L1008" s="18"/>
      <c r="M1008" s="4"/>
      <c r="N1008" s="1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</row>
    <row r="1009" spans="1:119" ht="14.2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2"/>
      <c r="J1009" s="2"/>
      <c r="K1009" s="1"/>
      <c r="L1009" s="18"/>
      <c r="M1009" s="4"/>
      <c r="N1009" s="1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</row>
    <row r="1010" spans="1:119" ht="14.2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2"/>
      <c r="J1010" s="2"/>
      <c r="K1010" s="1"/>
      <c r="L1010" s="18"/>
      <c r="M1010" s="4"/>
      <c r="N1010" s="1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</row>
    <row r="1011" spans="1:119" ht="14.2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2"/>
      <c r="J1011" s="2"/>
      <c r="K1011" s="1"/>
      <c r="L1011" s="18"/>
      <c r="M1011" s="4"/>
      <c r="N1011" s="1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</row>
    <row r="1012" spans="1:119" ht="14.2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2"/>
      <c r="J1012" s="2"/>
      <c r="K1012" s="1"/>
      <c r="L1012" s="18"/>
      <c r="M1012" s="4"/>
      <c r="N1012" s="1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</row>
    <row r="1013" spans="1:119" ht="14.2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2"/>
      <c r="J1013" s="2"/>
      <c r="K1013" s="1"/>
      <c r="L1013" s="18"/>
      <c r="M1013" s="4"/>
      <c r="N1013" s="1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</row>
    <row r="1014" spans="1:119" ht="14.2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2"/>
      <c r="J1014" s="2"/>
      <c r="K1014" s="1"/>
      <c r="L1014" s="18"/>
      <c r="M1014" s="4"/>
      <c r="N1014" s="1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</row>
    <row r="1015" spans="1:119" ht="14.2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2"/>
      <c r="J1015" s="2"/>
      <c r="K1015" s="1"/>
      <c r="L1015" s="18"/>
      <c r="M1015" s="4"/>
      <c r="N1015" s="1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</row>
    <row r="1016" spans="1:119" ht="14.2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2"/>
      <c r="J1016" s="2"/>
      <c r="K1016" s="1"/>
      <c r="L1016" s="18"/>
      <c r="M1016" s="4"/>
      <c r="N1016" s="1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</row>
    <row r="1017" spans="1:119" ht="14.2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2"/>
      <c r="J1017" s="2"/>
      <c r="K1017" s="1"/>
      <c r="L1017" s="18"/>
      <c r="M1017" s="4"/>
      <c r="N1017" s="1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</row>
    <row r="1018" spans="1:119" ht="14.2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2"/>
      <c r="J1018" s="2"/>
      <c r="K1018" s="1"/>
      <c r="L1018" s="18"/>
      <c r="M1018" s="4"/>
      <c r="N1018" s="1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</row>
    <row r="1019" spans="1:119" ht="14.2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2"/>
      <c r="J1019" s="2"/>
      <c r="K1019" s="1"/>
      <c r="L1019" s="18"/>
      <c r="M1019" s="4"/>
      <c r="N1019" s="1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</row>
    <row r="1020" spans="1:119" ht="14.2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2"/>
      <c r="J1020" s="2"/>
      <c r="K1020" s="1"/>
      <c r="L1020" s="18"/>
      <c r="M1020" s="4"/>
      <c r="N1020" s="1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</row>
    <row r="1021" spans="1:119" ht="14.2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2"/>
      <c r="J1021" s="2"/>
      <c r="K1021" s="1"/>
      <c r="L1021" s="18"/>
      <c r="M1021" s="4"/>
      <c r="N1021" s="1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</row>
    <row r="1022" spans="1:119" ht="14.2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2"/>
      <c r="J1022" s="2"/>
      <c r="K1022" s="1"/>
      <c r="L1022" s="18"/>
      <c r="M1022" s="4"/>
      <c r="N1022" s="1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</row>
    <row r="1023" spans="1:119" ht="14.2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2"/>
      <c r="J1023" s="2"/>
      <c r="K1023" s="1"/>
      <c r="L1023" s="18"/>
      <c r="M1023" s="4"/>
      <c r="N1023" s="1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</row>
    <row r="1024" spans="1:119" ht="14.2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2"/>
      <c r="J1024" s="2"/>
      <c r="K1024" s="1"/>
      <c r="L1024" s="18"/>
      <c r="M1024" s="4"/>
      <c r="N1024" s="1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</row>
    <row r="1025" spans="1:119" ht="14.2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2"/>
      <c r="J1025" s="2"/>
      <c r="K1025" s="1"/>
      <c r="L1025" s="18"/>
      <c r="M1025" s="4"/>
      <c r="N1025" s="1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</row>
    <row r="1026" spans="1:119" ht="14.2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2"/>
      <c r="J1026" s="2"/>
      <c r="K1026" s="1"/>
      <c r="L1026" s="18"/>
      <c r="M1026" s="4"/>
      <c r="N1026" s="1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</row>
    <row r="1027" spans="1:119" ht="14.2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2"/>
      <c r="J1027" s="2"/>
      <c r="K1027" s="1"/>
      <c r="L1027" s="18"/>
      <c r="M1027" s="4"/>
      <c r="N1027" s="1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</row>
    <row r="1028" spans="1:119" ht="14.2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2"/>
      <c r="J1028" s="2"/>
      <c r="K1028" s="1"/>
      <c r="L1028" s="18"/>
      <c r="M1028" s="4"/>
      <c r="N1028" s="1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</row>
    <row r="1029" spans="1:119" ht="14.2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2"/>
      <c r="J1029" s="2"/>
      <c r="K1029" s="1"/>
      <c r="L1029" s="18"/>
      <c r="M1029" s="4"/>
      <c r="N1029" s="1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</row>
    <row r="1030" spans="1:119" ht="14.2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2"/>
      <c r="J1030" s="2"/>
      <c r="K1030" s="1"/>
      <c r="L1030" s="18"/>
      <c r="M1030" s="4"/>
      <c r="N1030" s="1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</row>
    <row r="1031" spans="1:119" ht="14.2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2"/>
      <c r="J1031" s="2"/>
      <c r="K1031" s="1"/>
      <c r="L1031" s="18"/>
      <c r="M1031" s="4"/>
      <c r="N1031" s="1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</row>
    <row r="1032" spans="1:119" ht="14.2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2"/>
      <c r="J1032" s="2"/>
      <c r="K1032" s="1"/>
      <c r="L1032" s="18"/>
      <c r="M1032" s="4"/>
      <c r="N1032" s="1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</row>
    <row r="1033" spans="1:119" ht="14.2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2"/>
      <c r="J1033" s="2"/>
      <c r="K1033" s="1"/>
      <c r="L1033" s="18"/>
      <c r="M1033" s="4"/>
      <c r="N1033" s="1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</row>
    <row r="1034" spans="1:119" ht="14.2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2"/>
      <c r="J1034" s="2"/>
      <c r="K1034" s="1"/>
      <c r="L1034" s="18"/>
      <c r="M1034" s="4"/>
      <c r="N1034" s="1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</row>
    <row r="1035" spans="1:119" ht="14.2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2"/>
      <c r="J1035" s="2"/>
      <c r="K1035" s="1"/>
      <c r="L1035" s="18"/>
      <c r="M1035" s="4"/>
      <c r="N1035" s="1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</row>
    <row r="1036" spans="1:119" ht="14.2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2"/>
      <c r="J1036" s="2"/>
      <c r="K1036" s="1"/>
      <c r="L1036" s="18"/>
      <c r="M1036" s="4"/>
      <c r="N1036" s="1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</row>
    <row r="1037" spans="1:119" ht="14.2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2"/>
      <c r="J1037" s="2"/>
      <c r="K1037" s="1"/>
      <c r="L1037" s="18"/>
      <c r="M1037" s="4"/>
      <c r="N1037" s="1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</row>
    <row r="1038" spans="1:119" ht="14.2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2"/>
      <c r="J1038" s="2"/>
      <c r="K1038" s="1"/>
      <c r="L1038" s="18"/>
      <c r="M1038" s="4"/>
      <c r="N1038" s="1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</row>
    <row r="1039" spans="1:119" ht="14.2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2"/>
      <c r="J1039" s="2"/>
      <c r="K1039" s="1"/>
      <c r="L1039" s="18"/>
      <c r="M1039" s="4"/>
      <c r="N1039" s="1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</row>
    <row r="1040" spans="1:119" ht="14.2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2"/>
      <c r="J1040" s="2"/>
      <c r="K1040" s="1"/>
      <c r="L1040" s="18"/>
      <c r="M1040" s="4"/>
      <c r="N1040" s="1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</row>
    <row r="1041" spans="1:119" ht="14.2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2"/>
      <c r="J1041" s="2"/>
      <c r="K1041" s="1"/>
      <c r="L1041" s="18"/>
      <c r="M1041" s="4"/>
      <c r="N1041" s="1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</row>
    <row r="1042" spans="1:119" ht="14.2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2"/>
      <c r="J1042" s="2"/>
      <c r="K1042" s="1"/>
      <c r="L1042" s="18"/>
      <c r="M1042" s="4"/>
      <c r="N1042" s="1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</row>
    <row r="1043" spans="1:119" ht="14.2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2"/>
      <c r="J1043" s="2"/>
      <c r="K1043" s="1"/>
      <c r="L1043" s="18"/>
      <c r="M1043" s="4"/>
      <c r="N1043" s="1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</row>
    <row r="1044" spans="1:119" ht="14.2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2"/>
      <c r="J1044" s="2"/>
      <c r="K1044" s="1"/>
      <c r="L1044" s="18"/>
      <c r="M1044" s="4"/>
      <c r="N1044" s="1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</row>
    <row r="1045" spans="1:119" ht="14.2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2"/>
      <c r="J1045" s="2"/>
      <c r="K1045" s="1"/>
      <c r="L1045" s="18"/>
      <c r="M1045" s="4"/>
      <c r="N1045" s="1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</row>
    <row r="1046" spans="1:119" ht="14.2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2"/>
      <c r="J1046" s="2"/>
      <c r="K1046" s="1"/>
      <c r="L1046" s="18"/>
      <c r="M1046" s="4"/>
      <c r="N1046" s="1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</row>
    <row r="1047" spans="1:119" ht="14.2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2"/>
      <c r="J1047" s="2"/>
      <c r="K1047" s="1"/>
      <c r="L1047" s="18"/>
      <c r="M1047" s="4"/>
      <c r="N1047" s="1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</row>
    <row r="1048" spans="1:119" ht="14.2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2"/>
      <c r="J1048" s="2"/>
      <c r="K1048" s="1"/>
      <c r="L1048" s="18"/>
      <c r="M1048" s="4"/>
      <c r="N1048" s="1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</row>
    <row r="1049" spans="1:119" ht="14.2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2"/>
      <c r="J1049" s="2"/>
      <c r="K1049" s="1"/>
      <c r="L1049" s="18"/>
      <c r="M1049" s="4"/>
      <c r="N1049" s="1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</row>
    <row r="1050" spans="1:119" ht="14.2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2"/>
      <c r="J1050" s="2"/>
      <c r="K1050" s="1"/>
      <c r="L1050" s="18"/>
      <c r="M1050" s="4"/>
      <c r="N1050" s="1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</row>
    <row r="1051" spans="1:119" ht="14.2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2"/>
      <c r="J1051" s="2"/>
      <c r="K1051" s="1"/>
      <c r="L1051" s="18"/>
      <c r="M1051" s="4"/>
      <c r="N1051" s="1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</row>
    <row r="1052" spans="1:119" ht="14.2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2"/>
      <c r="J1052" s="2"/>
      <c r="K1052" s="1"/>
      <c r="L1052" s="18"/>
      <c r="M1052" s="4"/>
      <c r="N1052" s="1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</row>
    <row r="1053" spans="1:119" ht="14.2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2"/>
      <c r="J1053" s="2"/>
      <c r="K1053" s="1"/>
      <c r="L1053" s="18"/>
      <c r="M1053" s="4"/>
      <c r="N1053" s="1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</row>
    <row r="1054" spans="1:119" ht="14.2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2"/>
      <c r="J1054" s="2"/>
      <c r="K1054" s="1"/>
      <c r="L1054" s="18"/>
      <c r="M1054" s="4"/>
      <c r="N1054" s="1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</row>
    <row r="1055" spans="1:119" ht="14.2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2"/>
      <c r="J1055" s="2"/>
      <c r="K1055" s="1"/>
      <c r="L1055" s="18"/>
      <c r="M1055" s="4"/>
      <c r="N1055" s="1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</row>
    <row r="1056" spans="1:119" ht="14.2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2"/>
      <c r="J1056" s="2"/>
      <c r="K1056" s="1"/>
      <c r="L1056" s="18"/>
      <c r="M1056" s="4"/>
      <c r="N1056" s="1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</row>
    <row r="1057" spans="1:119" ht="14.2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2"/>
      <c r="J1057" s="2"/>
      <c r="K1057" s="1"/>
      <c r="L1057" s="18"/>
      <c r="M1057" s="4"/>
      <c r="N1057" s="1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</row>
    <row r="1058" spans="1:119" ht="14.2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2"/>
      <c r="J1058" s="2"/>
      <c r="K1058" s="1"/>
      <c r="L1058" s="18"/>
      <c r="M1058" s="4"/>
      <c r="N1058" s="1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</row>
    <row r="1059" spans="1:119" ht="14.2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2"/>
      <c r="J1059" s="2"/>
      <c r="K1059" s="1"/>
      <c r="L1059" s="18"/>
      <c r="M1059" s="4"/>
      <c r="N1059" s="1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</row>
    <row r="1060" spans="1:119" ht="14.2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2"/>
      <c r="J1060" s="2"/>
      <c r="K1060" s="1"/>
      <c r="L1060" s="18"/>
      <c r="M1060" s="4"/>
      <c r="N1060" s="1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</row>
    <row r="1061" spans="1:119" ht="14.2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2"/>
      <c r="J1061" s="2"/>
      <c r="K1061" s="1"/>
      <c r="L1061" s="18"/>
      <c r="M1061" s="4"/>
      <c r="N1061" s="1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</row>
    <row r="1062" spans="1:119" ht="14.2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2"/>
      <c r="J1062" s="2"/>
      <c r="K1062" s="1"/>
      <c r="L1062" s="18"/>
      <c r="M1062" s="4"/>
      <c r="N1062" s="1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</row>
    <row r="1063" spans="1:119" ht="14.2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2"/>
      <c r="J1063" s="2"/>
      <c r="K1063" s="1"/>
      <c r="L1063" s="18"/>
      <c r="M1063" s="4"/>
      <c r="N1063" s="1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</row>
    <row r="1064" spans="1:119" ht="14.2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2"/>
      <c r="J1064" s="2"/>
      <c r="K1064" s="1"/>
      <c r="L1064" s="18"/>
      <c r="M1064" s="4"/>
      <c r="N1064" s="1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</row>
    <row r="1065" spans="1:119" ht="14.2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2"/>
      <c r="J1065" s="2"/>
      <c r="K1065" s="1"/>
      <c r="L1065" s="18"/>
      <c r="M1065" s="4"/>
      <c r="N1065" s="1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</row>
    <row r="1066" spans="1:119" ht="14.2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2"/>
      <c r="J1066" s="2"/>
      <c r="K1066" s="1"/>
      <c r="L1066" s="18"/>
      <c r="M1066" s="4"/>
      <c r="N1066" s="1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</row>
    <row r="1067" spans="1:119" ht="14.2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2"/>
      <c r="J1067" s="2"/>
      <c r="K1067" s="1"/>
      <c r="L1067" s="18"/>
      <c r="M1067" s="4"/>
      <c r="N1067" s="1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</row>
    <row r="1068" spans="1:119" ht="14.2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2"/>
      <c r="J1068" s="2"/>
      <c r="K1068" s="1"/>
      <c r="L1068" s="18"/>
      <c r="M1068" s="4"/>
      <c r="N1068" s="1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</row>
    <row r="1069" spans="1:119" ht="14.2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2"/>
      <c r="J1069" s="2"/>
      <c r="K1069" s="1"/>
      <c r="L1069" s="18"/>
      <c r="M1069" s="4"/>
      <c r="N1069" s="1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</row>
    <row r="1070" spans="1:119" ht="14.2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2"/>
      <c r="J1070" s="2"/>
      <c r="K1070" s="1"/>
      <c r="L1070" s="18"/>
      <c r="M1070" s="4"/>
      <c r="N1070" s="1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</row>
    <row r="1071" spans="1:119" ht="14.2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2"/>
      <c r="J1071" s="2"/>
      <c r="K1071" s="1"/>
      <c r="L1071" s="18"/>
      <c r="M1071" s="4"/>
      <c r="N1071" s="1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</row>
    <row r="1072" spans="1:119" ht="14.2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2"/>
      <c r="J1072" s="2"/>
      <c r="K1072" s="1"/>
      <c r="L1072" s="18"/>
      <c r="M1072" s="4"/>
      <c r="N1072" s="1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</row>
    <row r="1073" spans="1:119" ht="14.2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2"/>
      <c r="J1073" s="2"/>
      <c r="K1073" s="1"/>
      <c r="L1073" s="18"/>
      <c r="M1073" s="4"/>
      <c r="N1073" s="1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</row>
    <row r="1074" spans="1:119" ht="14.2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2"/>
      <c r="J1074" s="2"/>
      <c r="K1074" s="1"/>
      <c r="L1074" s="18"/>
      <c r="M1074" s="4"/>
      <c r="N1074" s="1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</row>
    <row r="1075" spans="1:119" ht="14.2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2"/>
      <c r="J1075" s="2"/>
      <c r="K1075" s="1"/>
      <c r="L1075" s="18"/>
      <c r="M1075" s="4"/>
      <c r="N1075" s="1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</row>
    <row r="1076" spans="1:119" ht="14.2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2"/>
      <c r="J1076" s="2"/>
      <c r="K1076" s="1"/>
      <c r="L1076" s="18"/>
      <c r="M1076" s="4"/>
      <c r="N1076" s="1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</row>
    <row r="1077" spans="1:119" ht="14.2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2"/>
      <c r="J1077" s="2"/>
      <c r="K1077" s="1"/>
      <c r="L1077" s="18"/>
      <c r="M1077" s="4"/>
      <c r="N1077" s="1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</row>
    <row r="1078" spans="1:119" ht="14.2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2"/>
      <c r="J1078" s="2"/>
      <c r="K1078" s="1"/>
      <c r="L1078" s="18"/>
      <c r="M1078" s="4"/>
      <c r="N1078" s="1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</row>
    <row r="1079" spans="1:119" ht="14.2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2"/>
      <c r="J1079" s="2"/>
      <c r="K1079" s="1"/>
      <c r="L1079" s="18"/>
      <c r="M1079" s="4"/>
      <c r="N1079" s="1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</row>
    <row r="1080" spans="1:119" ht="14.2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2"/>
      <c r="J1080" s="2"/>
      <c r="K1080" s="1"/>
      <c r="L1080" s="18"/>
      <c r="M1080" s="4"/>
      <c r="N1080" s="1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</row>
    <row r="1081" spans="1:119" ht="14.2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2"/>
      <c r="J1081" s="2"/>
      <c r="K1081" s="1"/>
      <c r="L1081" s="18"/>
      <c r="M1081" s="4"/>
      <c r="N1081" s="1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</row>
    <row r="1082" spans="1:119" ht="14.2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2"/>
      <c r="J1082" s="2"/>
      <c r="K1082" s="1"/>
      <c r="L1082" s="18"/>
      <c r="M1082" s="4"/>
      <c r="N1082" s="1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</row>
    <row r="1083" spans="1:119" ht="14.2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2"/>
      <c r="J1083" s="2"/>
      <c r="K1083" s="1"/>
      <c r="L1083" s="18"/>
      <c r="M1083" s="4"/>
      <c r="N1083" s="1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</row>
    <row r="1084" spans="1:119" ht="14.2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2"/>
      <c r="J1084" s="2"/>
      <c r="K1084" s="1"/>
      <c r="L1084" s="18"/>
      <c r="M1084" s="4"/>
      <c r="N1084" s="1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</row>
    <row r="1085" spans="1:119" ht="14.2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2"/>
      <c r="J1085" s="2"/>
      <c r="K1085" s="1"/>
      <c r="L1085" s="18"/>
      <c r="M1085" s="4"/>
      <c r="N1085" s="1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</row>
    <row r="1086" spans="1:119" ht="14.2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2"/>
      <c r="J1086" s="2"/>
      <c r="K1086" s="1"/>
      <c r="L1086" s="18"/>
      <c r="M1086" s="4"/>
      <c r="N1086" s="1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</row>
    <row r="1087" spans="1:119" ht="14.2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2"/>
      <c r="J1087" s="2"/>
      <c r="K1087" s="1"/>
      <c r="L1087" s="18"/>
      <c r="M1087" s="4"/>
      <c r="N1087" s="1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</row>
    <row r="1088" spans="1:119" ht="14.2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2"/>
      <c r="J1088" s="2"/>
      <c r="K1088" s="1"/>
      <c r="L1088" s="18"/>
      <c r="M1088" s="4"/>
      <c r="N1088" s="1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</row>
    <row r="1089" spans="1:119" ht="14.2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2"/>
      <c r="J1089" s="2"/>
      <c r="K1089" s="1"/>
      <c r="L1089" s="18"/>
      <c r="M1089" s="4"/>
      <c r="N1089" s="1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</row>
    <row r="1090" spans="1:119" ht="14.2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2"/>
      <c r="J1090" s="2"/>
      <c r="K1090" s="1"/>
      <c r="L1090" s="18"/>
      <c r="M1090" s="4"/>
      <c r="N1090" s="1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</row>
    <row r="1091" spans="1:119" ht="14.2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2"/>
      <c r="J1091" s="2"/>
      <c r="K1091" s="1"/>
      <c r="L1091" s="18"/>
      <c r="M1091" s="4"/>
      <c r="N1091" s="1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</row>
    <row r="1092" spans="1:119" ht="14.2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2"/>
      <c r="J1092" s="2"/>
      <c r="K1092" s="1"/>
      <c r="L1092" s="18"/>
      <c r="M1092" s="4"/>
      <c r="N1092" s="1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</row>
    <row r="1093" spans="1:119" ht="14.2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2"/>
      <c r="J1093" s="2"/>
      <c r="K1093" s="1"/>
      <c r="L1093" s="18"/>
      <c r="M1093" s="4"/>
      <c r="N1093" s="1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</row>
    <row r="1094" spans="1:119" ht="14.2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2"/>
      <c r="J1094" s="2"/>
      <c r="K1094" s="1"/>
      <c r="L1094" s="18"/>
      <c r="M1094" s="4"/>
      <c r="N1094" s="1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</row>
    <row r="1095" spans="1:119" ht="14.2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2"/>
      <c r="J1095" s="2"/>
      <c r="K1095" s="1"/>
      <c r="L1095" s="18"/>
      <c r="M1095" s="4"/>
      <c r="N1095" s="1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</row>
    <row r="1096" spans="1:119" ht="14.2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2"/>
      <c r="J1096" s="2"/>
      <c r="K1096" s="1"/>
      <c r="L1096" s="18"/>
      <c r="M1096" s="4"/>
      <c r="N1096" s="1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</row>
    <row r="1097" spans="1:119" ht="14.2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2"/>
      <c r="J1097" s="2"/>
      <c r="K1097" s="1"/>
      <c r="L1097" s="18"/>
      <c r="M1097" s="4"/>
      <c r="N1097" s="1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</row>
    <row r="1098" spans="1:119" ht="14.2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2"/>
      <c r="J1098" s="2"/>
      <c r="K1098" s="1"/>
      <c r="L1098" s="18"/>
      <c r="M1098" s="4"/>
      <c r="N1098" s="1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</row>
    <row r="1099" spans="1:119" ht="14.2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2"/>
      <c r="J1099" s="2"/>
      <c r="K1099" s="1"/>
      <c r="L1099" s="18"/>
      <c r="M1099" s="4"/>
      <c r="N1099" s="1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</row>
    <row r="1100" spans="1:119" ht="14.2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2"/>
      <c r="J1100" s="2"/>
      <c r="K1100" s="1"/>
      <c r="L1100" s="18"/>
      <c r="M1100" s="4"/>
      <c r="N1100" s="1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</row>
    <row r="1101" spans="1:119" ht="14.2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2"/>
      <c r="J1101" s="2"/>
      <c r="K1101" s="1"/>
      <c r="L1101" s="18"/>
      <c r="M1101" s="4"/>
      <c r="N1101" s="1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</row>
    <row r="1102" spans="1:119" ht="14.2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2"/>
      <c r="J1102" s="2"/>
      <c r="K1102" s="1"/>
      <c r="L1102" s="18"/>
      <c r="M1102" s="4"/>
      <c r="N1102" s="1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</row>
    <row r="1103" spans="1:119" ht="14.2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2"/>
      <c r="J1103" s="2"/>
      <c r="K1103" s="1"/>
      <c r="L1103" s="18"/>
      <c r="M1103" s="4"/>
      <c r="N1103" s="1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</row>
    <row r="1104" spans="1:119" ht="14.2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2"/>
      <c r="J1104" s="2"/>
      <c r="K1104" s="1"/>
      <c r="L1104" s="18"/>
      <c r="M1104" s="4"/>
      <c r="N1104" s="1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</row>
    <row r="1105" spans="1:119" ht="14.2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2"/>
      <c r="J1105" s="2"/>
      <c r="K1105" s="1"/>
      <c r="L1105" s="18"/>
      <c r="M1105" s="4"/>
      <c r="N1105" s="1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</row>
    <row r="1106" spans="1:119" ht="14.2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2"/>
      <c r="J1106" s="2"/>
      <c r="K1106" s="1"/>
      <c r="L1106" s="18"/>
      <c r="M1106" s="4"/>
      <c r="N1106" s="1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</row>
    <row r="1107" spans="1:119" ht="14.2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2"/>
      <c r="J1107" s="2"/>
      <c r="K1107" s="1"/>
      <c r="L1107" s="18"/>
      <c r="M1107" s="4"/>
      <c r="N1107" s="1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</row>
    <row r="1108" spans="1:119" ht="14.2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2"/>
      <c r="J1108" s="2"/>
      <c r="K1108" s="1"/>
      <c r="L1108" s="18"/>
      <c r="M1108" s="4"/>
      <c r="N1108" s="1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</row>
    <row r="1109" spans="1:119" ht="14.2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2"/>
      <c r="J1109" s="2"/>
      <c r="K1109" s="1"/>
      <c r="L1109" s="18"/>
      <c r="M1109" s="4"/>
      <c r="N1109" s="1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</row>
    <row r="1110" spans="1:119" ht="14.2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2"/>
      <c r="J1110" s="2"/>
      <c r="K1110" s="1"/>
      <c r="L1110" s="18"/>
      <c r="M1110" s="4"/>
      <c r="N1110" s="1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</row>
    <row r="1111" spans="1:119" ht="14.2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2"/>
      <c r="J1111" s="2"/>
      <c r="K1111" s="1"/>
      <c r="L1111" s="18"/>
      <c r="M1111" s="4"/>
      <c r="N1111" s="1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</row>
    <row r="1112" spans="1:119" ht="14.2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2"/>
      <c r="J1112" s="2"/>
      <c r="K1112" s="1"/>
      <c r="L1112" s="18"/>
      <c r="M1112" s="4"/>
      <c r="N1112" s="1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</row>
    <row r="1113" spans="1:119" ht="14.2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2"/>
      <c r="J1113" s="2"/>
      <c r="K1113" s="1"/>
      <c r="L1113" s="18"/>
      <c r="M1113" s="4"/>
      <c r="N1113" s="1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</row>
    <row r="1114" spans="1:119" ht="14.2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2"/>
      <c r="J1114" s="2"/>
      <c r="K1114" s="1"/>
      <c r="L1114" s="18"/>
      <c r="M1114" s="4"/>
      <c r="N1114" s="1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</row>
    <row r="1115" spans="1:119" ht="14.2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2"/>
      <c r="J1115" s="2"/>
      <c r="K1115" s="1"/>
      <c r="L1115" s="18"/>
      <c r="M1115" s="4"/>
      <c r="N1115" s="1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</row>
    <row r="1116" spans="1:119" ht="14.2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2"/>
      <c r="J1116" s="2"/>
      <c r="K1116" s="1"/>
      <c r="L1116" s="18"/>
      <c r="M1116" s="4"/>
      <c r="N1116" s="1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</row>
    <row r="1117" spans="1:119" ht="14.2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2"/>
      <c r="J1117" s="2"/>
      <c r="K1117" s="1"/>
      <c r="L1117" s="18"/>
      <c r="M1117" s="4"/>
      <c r="N1117" s="1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</row>
    <row r="1118" spans="1:119" ht="14.2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2"/>
      <c r="J1118" s="2"/>
      <c r="K1118" s="1"/>
      <c r="L1118" s="18"/>
      <c r="M1118" s="4"/>
      <c r="N1118" s="1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</row>
    <row r="1119" spans="1:119" ht="14.2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2"/>
      <c r="J1119" s="2"/>
      <c r="K1119" s="1"/>
      <c r="L1119" s="18"/>
      <c r="M1119" s="4"/>
      <c r="N1119" s="1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</row>
    <row r="1120" spans="1:119" ht="14.2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2"/>
      <c r="J1120" s="2"/>
      <c r="K1120" s="1"/>
      <c r="L1120" s="18"/>
      <c r="M1120" s="4"/>
      <c r="N1120" s="1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</row>
    <row r="1121" spans="1:119" ht="14.2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2"/>
      <c r="J1121" s="2"/>
      <c r="K1121" s="1"/>
      <c r="L1121" s="18"/>
      <c r="M1121" s="4"/>
      <c r="N1121" s="1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</row>
    <row r="1122" spans="1:119" ht="14.2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2"/>
      <c r="J1122" s="2"/>
      <c r="K1122" s="1"/>
      <c r="L1122" s="18"/>
      <c r="M1122" s="4"/>
      <c r="N1122" s="1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</row>
    <row r="1123" spans="1:119" ht="14.2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2"/>
      <c r="J1123" s="2"/>
      <c r="K1123" s="1"/>
      <c r="L1123" s="18"/>
      <c r="M1123" s="4"/>
      <c r="N1123" s="1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</row>
    <row r="1124" spans="1:119" ht="14.2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2"/>
      <c r="J1124" s="2"/>
      <c r="K1124" s="1"/>
      <c r="L1124" s="18"/>
      <c r="M1124" s="4"/>
      <c r="N1124" s="1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</row>
    <row r="1125" spans="1:119" ht="14.2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2"/>
      <c r="J1125" s="2"/>
      <c r="K1125" s="1"/>
      <c r="L1125" s="18"/>
      <c r="M1125" s="4"/>
      <c r="N1125" s="1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</row>
  </sheetData>
  <autoFilter ref="A3:DO252" xr:uid="{00000000-0009-0000-0000-000000000000}"/>
  <mergeCells count="1">
    <mergeCell ref="L1:M1"/>
  </mergeCells>
  <phoneticPr fontId="38" type="noConversion"/>
  <conditionalFormatting sqref="L33:L34 BB33:BF34 L55:L56 BB55:BF56 L93:L94 BB93:BF94 L99 BF99 L107 BB107:BF107 L129:L130 BB129:BF130 L141 BB141:BF141 L161:L162 BB161:BF162 L173 BB173:BF173 L193:L194 BB193:BF194 L206 BB206:BF206 L226:L227 BB226:BF227 BB235:BE235 L235:L237 BF235:BF237 L239:L240 BF239:BF240 BB240:BE240 L245 BB245:BF245">
    <cfRule type="cellIs" dxfId="7" priority="3" operator="greaterThan">
      <formula>10</formula>
    </cfRule>
  </conditionalFormatting>
  <conditionalFormatting sqref="M2 M5:M42 M44:M116 M118:M148 M150:M171 M173:M251 M253:M275 M277:M1125">
    <cfRule type="cellIs" dxfId="6" priority="4" operator="greaterThan">
      <formula>350</formula>
    </cfRule>
  </conditionalFormatting>
  <conditionalFormatting sqref="M5:M37 M50:M72 M82:M110 M113 M118:M145 M150:M171 M173:M174 M179:M180 M182:M207 M209:M210 M213:M248">
    <cfRule type="cellIs" dxfId="5" priority="5" operator="lessThan">
      <formula>100</formula>
    </cfRule>
  </conditionalFormatting>
  <conditionalFormatting sqref="M15 BG15 M33:M34 BG33:BG34 M55:M56 BG55:BG56 M64:M65 BG64:BG65 M93:M94 BG93:BG94 M99 BG99 M103 BG103 M107 BG107 M129:M130 BG129:BG130 M139 BG139 M141 BG141 M161:M162 BG161:BG162 M171 BG171 M173 BG173 M193:M194 BG193:BG194 M203 BG203 M206 BG206 M225:M227 BG225:BG227 M235:M237 BG235:BG237 M239:M241 BG239:BG241 M245 BG245">
    <cfRule type="cellIs" dxfId="4" priority="1" operator="greaterThan">
      <formula>250</formula>
    </cfRule>
  </conditionalFormatting>
  <hyperlinks>
    <hyperlink ref="BS15" r:id="rId1" xr:uid="{00000000-0004-0000-0000-000000000000}"/>
    <hyperlink ref="Y19" r:id="rId2" xr:uid="{00000000-0004-0000-0000-000001000000}"/>
    <hyperlink ref="BS19" r:id="rId3" xr:uid="{00000000-0004-0000-0000-000002000000}"/>
    <hyperlink ref="Y20" r:id="rId4" xr:uid="{00000000-0004-0000-0000-000003000000}"/>
    <hyperlink ref="BS20" r:id="rId5" xr:uid="{00000000-0004-0000-0000-000004000000}"/>
    <hyperlink ref="Y21" r:id="rId6" xr:uid="{00000000-0004-0000-0000-000005000000}"/>
    <hyperlink ref="BR21" r:id="rId7" xr:uid="{00000000-0004-0000-0000-000006000000}"/>
    <hyperlink ref="BM30" r:id="rId8" xr:uid="{00000000-0004-0000-0000-000007000000}"/>
    <hyperlink ref="BS31" r:id="rId9" xr:uid="{00000000-0004-0000-0000-000008000000}"/>
    <hyperlink ref="Y33" r:id="rId10" xr:uid="{00000000-0004-0000-0000-000009000000}"/>
    <hyperlink ref="BS33" r:id="rId11" xr:uid="{00000000-0004-0000-0000-00000A000000}"/>
    <hyperlink ref="Y34" r:id="rId12" xr:uid="{00000000-0004-0000-0000-00000B000000}"/>
    <hyperlink ref="BS34" r:id="rId13" xr:uid="{00000000-0004-0000-0000-00000C000000}"/>
    <hyperlink ref="Y55" r:id="rId14" xr:uid="{00000000-0004-0000-0000-00000D000000}"/>
    <hyperlink ref="BS55" r:id="rId15" xr:uid="{00000000-0004-0000-0000-00000E000000}"/>
    <hyperlink ref="Y56" r:id="rId16" xr:uid="{00000000-0004-0000-0000-00000F000000}"/>
    <hyperlink ref="BS56" r:id="rId17" xr:uid="{00000000-0004-0000-0000-000010000000}"/>
    <hyperlink ref="Y64" r:id="rId18" xr:uid="{00000000-0004-0000-0000-000011000000}"/>
    <hyperlink ref="BS64" r:id="rId19" xr:uid="{00000000-0004-0000-0000-000012000000}"/>
    <hyperlink ref="BM65" r:id="rId20" xr:uid="{00000000-0004-0000-0000-000013000000}"/>
    <hyperlink ref="Y67" r:id="rId21" xr:uid="{00000000-0004-0000-0000-000014000000}"/>
    <hyperlink ref="BS67" r:id="rId22" xr:uid="{00000000-0004-0000-0000-000015000000}"/>
    <hyperlink ref="Y68" r:id="rId23" xr:uid="{00000000-0004-0000-0000-000016000000}"/>
    <hyperlink ref="BS68" r:id="rId24" xr:uid="{00000000-0004-0000-0000-000017000000}"/>
    <hyperlink ref="Y69" r:id="rId25" xr:uid="{00000000-0004-0000-0000-000018000000}"/>
    <hyperlink ref="BR69" r:id="rId26" xr:uid="{00000000-0004-0000-0000-000019000000}"/>
    <hyperlink ref="Y93" r:id="rId27" xr:uid="{00000000-0004-0000-0000-00001A000000}"/>
    <hyperlink ref="BS93" r:id="rId28" xr:uid="{00000000-0004-0000-0000-00001B000000}"/>
    <hyperlink ref="Y94" r:id="rId29" xr:uid="{00000000-0004-0000-0000-00001C000000}"/>
    <hyperlink ref="BS94" r:id="rId30" xr:uid="{00000000-0004-0000-0000-00001D000000}"/>
    <hyperlink ref="Y99" r:id="rId31" xr:uid="{00000000-0004-0000-0000-00001E000000}"/>
    <hyperlink ref="BS99" r:id="rId32" xr:uid="{00000000-0004-0000-0000-00001F000000}"/>
    <hyperlink ref="BM101" r:id="rId33" xr:uid="{00000000-0004-0000-0000-000020000000}"/>
    <hyperlink ref="Y103" r:id="rId34" xr:uid="{00000000-0004-0000-0000-000021000000}"/>
    <hyperlink ref="BS103" r:id="rId35" xr:uid="{00000000-0004-0000-0000-000022000000}"/>
    <hyperlink ref="Y106" r:id="rId36" xr:uid="{00000000-0004-0000-0000-000023000000}"/>
    <hyperlink ref="BR106" r:id="rId37" xr:uid="{00000000-0004-0000-0000-000024000000}"/>
    <hyperlink ref="BS107" r:id="rId38" xr:uid="{00000000-0004-0000-0000-000025000000}"/>
    <hyperlink ref="Y110" r:id="rId39" xr:uid="{00000000-0004-0000-0000-000026000000}"/>
    <hyperlink ref="BS110" r:id="rId40" xr:uid="{00000000-0004-0000-0000-000027000000}"/>
    <hyperlink ref="Y129" r:id="rId41" xr:uid="{00000000-0004-0000-0000-000028000000}"/>
    <hyperlink ref="BS129" r:id="rId42" xr:uid="{00000000-0004-0000-0000-000029000000}"/>
    <hyperlink ref="Y130" r:id="rId43" xr:uid="{00000000-0004-0000-0000-00002A000000}"/>
    <hyperlink ref="BS130" r:id="rId44" xr:uid="{00000000-0004-0000-0000-00002B000000}"/>
    <hyperlink ref="BM137" r:id="rId45" xr:uid="{00000000-0004-0000-0000-00002C000000}"/>
    <hyperlink ref="Y139" r:id="rId46" xr:uid="{00000000-0004-0000-0000-00002D000000}"/>
    <hyperlink ref="BS139" r:id="rId47" xr:uid="{00000000-0004-0000-0000-00002E000000}"/>
    <hyperlink ref="BS141" r:id="rId48" xr:uid="{00000000-0004-0000-0000-00002F000000}"/>
    <hyperlink ref="Y142" r:id="rId49" xr:uid="{00000000-0004-0000-0000-000030000000}"/>
    <hyperlink ref="BS142" r:id="rId50" xr:uid="{00000000-0004-0000-0000-000031000000}"/>
    <hyperlink ref="Y161" r:id="rId51" xr:uid="{00000000-0004-0000-0000-000032000000}"/>
    <hyperlink ref="BS161" r:id="rId52" xr:uid="{00000000-0004-0000-0000-000033000000}"/>
    <hyperlink ref="Y162" r:id="rId53" xr:uid="{00000000-0004-0000-0000-000034000000}"/>
    <hyperlink ref="BS162" r:id="rId54" xr:uid="{00000000-0004-0000-0000-000035000000}"/>
    <hyperlink ref="BM169" r:id="rId55" xr:uid="{00000000-0004-0000-0000-000036000000}"/>
    <hyperlink ref="Y171" r:id="rId56" xr:uid="{00000000-0004-0000-0000-000037000000}"/>
    <hyperlink ref="BS171" r:id="rId57" xr:uid="{00000000-0004-0000-0000-000038000000}"/>
    <hyperlink ref="BS173" r:id="rId58" xr:uid="{00000000-0004-0000-0000-000039000000}"/>
    <hyperlink ref="Y174" r:id="rId59" xr:uid="{00000000-0004-0000-0000-00003A000000}"/>
    <hyperlink ref="BS174" r:id="rId60" xr:uid="{00000000-0004-0000-0000-00003B000000}"/>
    <hyperlink ref="Y186" r:id="rId61" xr:uid="{00000000-0004-0000-0000-00003C000000}"/>
    <hyperlink ref="BS186" r:id="rId62" xr:uid="{00000000-0004-0000-0000-00003D000000}"/>
    <hyperlink ref="Y193" r:id="rId63" xr:uid="{00000000-0004-0000-0000-00003E000000}"/>
    <hyperlink ref="BS193" r:id="rId64" xr:uid="{00000000-0004-0000-0000-00003F000000}"/>
    <hyperlink ref="Y194" r:id="rId65" xr:uid="{00000000-0004-0000-0000-000040000000}"/>
    <hyperlink ref="BS194" r:id="rId66" xr:uid="{00000000-0004-0000-0000-000041000000}"/>
    <hyperlink ref="BM201" r:id="rId67" xr:uid="{00000000-0004-0000-0000-000042000000}"/>
    <hyperlink ref="Y203" r:id="rId68" xr:uid="{00000000-0004-0000-0000-000043000000}"/>
    <hyperlink ref="BS203" r:id="rId69" xr:uid="{00000000-0004-0000-0000-000044000000}"/>
    <hyperlink ref="Y205" r:id="rId70" xr:uid="{00000000-0004-0000-0000-000045000000}"/>
    <hyperlink ref="BR205" r:id="rId71" xr:uid="{00000000-0004-0000-0000-000046000000}"/>
    <hyperlink ref="BS206" r:id="rId72" xr:uid="{00000000-0004-0000-0000-000047000000}"/>
    <hyperlink ref="Y225" r:id="rId73" xr:uid="{00000000-0004-0000-0000-000048000000}"/>
    <hyperlink ref="BS225" r:id="rId74" xr:uid="{00000000-0004-0000-0000-000049000000}"/>
    <hyperlink ref="Y226" r:id="rId75" xr:uid="{00000000-0004-0000-0000-00004A000000}"/>
    <hyperlink ref="BS226" r:id="rId76" xr:uid="{00000000-0004-0000-0000-00004B000000}"/>
    <hyperlink ref="Y227" r:id="rId77" xr:uid="{00000000-0004-0000-0000-00004C000000}"/>
    <hyperlink ref="BS227" r:id="rId78" xr:uid="{00000000-0004-0000-0000-00004D000000}"/>
    <hyperlink ref="Y229" r:id="rId79" xr:uid="{00000000-0004-0000-0000-00004E000000}"/>
    <hyperlink ref="BR229" r:id="rId80" xr:uid="{00000000-0004-0000-0000-00004F000000}"/>
    <hyperlink ref="Y230" r:id="rId81" xr:uid="{00000000-0004-0000-0000-000050000000}"/>
    <hyperlink ref="BS230" r:id="rId82" xr:uid="{00000000-0004-0000-0000-000051000000}"/>
    <hyperlink ref="BS231" r:id="rId83" xr:uid="{00000000-0004-0000-0000-000052000000}"/>
    <hyperlink ref="BS235" r:id="rId84" xr:uid="{00000000-0004-0000-0000-000053000000}"/>
    <hyperlink ref="Y236" r:id="rId85" xr:uid="{00000000-0004-0000-0000-000054000000}"/>
    <hyperlink ref="BS236" r:id="rId86" xr:uid="{00000000-0004-0000-0000-000055000000}"/>
    <hyperlink ref="Y239" r:id="rId87" xr:uid="{00000000-0004-0000-0000-000056000000}"/>
    <hyperlink ref="BS239" r:id="rId88" xr:uid="{00000000-0004-0000-0000-000057000000}"/>
    <hyperlink ref="Y241" r:id="rId89" xr:uid="{00000000-0004-0000-0000-000058000000}"/>
    <hyperlink ref="BS241" r:id="rId90" xr:uid="{00000000-0004-0000-0000-000059000000}"/>
    <hyperlink ref="Y245" r:id="rId91" xr:uid="{00000000-0004-0000-0000-00005A000000}"/>
    <hyperlink ref="BS245" r:id="rId92" xr:uid="{00000000-0004-0000-0000-00005B000000}"/>
    <hyperlink ref="BM276" r:id="rId93" xr:uid="{00000000-0004-0000-0000-00005C000000}"/>
    <hyperlink ref="BM277" r:id="rId94" xr:uid="{00000000-0004-0000-0000-00005D000000}"/>
    <hyperlink ref="BM278" r:id="rId95" xr:uid="{00000000-0004-0000-0000-00005E000000}"/>
    <hyperlink ref="Y279" r:id="rId96" xr:uid="{00000000-0004-0000-0000-00005F000000}"/>
    <hyperlink ref="BR279" r:id="rId97" xr:uid="{00000000-0004-0000-0000-000060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998"/>
  <sheetViews>
    <sheetView tabSelected="1" workbookViewId="0">
      <pane xSplit="7" topLeftCell="H1" activePane="topRight" state="frozen"/>
      <selection pane="topRight" activeCell="H11" sqref="H11"/>
    </sheetView>
  </sheetViews>
  <sheetFormatPr baseColWidth="10" defaultColWidth="14.5" defaultRowHeight="15" customHeight="1" x14ac:dyDescent="0.2"/>
  <cols>
    <col min="1" max="1" width="0.5" customWidth="1"/>
    <col min="2" max="2" width="10.6640625" customWidth="1"/>
    <col min="3" max="3" width="9.5" customWidth="1"/>
    <col min="5" max="5" width="9.83203125" customWidth="1"/>
    <col min="7" max="7" width="7.6640625" customWidth="1"/>
  </cols>
  <sheetData>
    <row r="1" spans="1:47" ht="14.2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7" ht="14.25" customHeight="1" x14ac:dyDescent="0.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158</v>
      </c>
      <c r="I2" s="5" t="s">
        <v>159</v>
      </c>
      <c r="J2" s="5" t="s">
        <v>11</v>
      </c>
      <c r="K2" s="5" t="s">
        <v>160</v>
      </c>
      <c r="L2" s="5" t="s">
        <v>13</v>
      </c>
      <c r="M2" s="5" t="s">
        <v>14</v>
      </c>
      <c r="N2" s="5" t="s">
        <v>161</v>
      </c>
      <c r="O2" s="5" t="s">
        <v>274</v>
      </c>
      <c r="P2" s="5" t="s">
        <v>162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7" ht="14.25" customHeight="1" x14ac:dyDescent="0.2">
      <c r="A3" s="100" t="str">
        <f t="shared" ref="A3:A20" si="0">D3&amp;"|"&amp;E3&amp;"|"&amp;F3&amp;"|"&amp;G3</f>
        <v>[17ab2738]|ARB|stiff Surge|45m</v>
      </c>
      <c r="B3" s="98" t="s">
        <v>28</v>
      </c>
      <c r="C3" s="98">
        <v>0.5</v>
      </c>
      <c r="D3" s="100" t="s">
        <v>29</v>
      </c>
      <c r="E3" s="98" t="s">
        <v>30</v>
      </c>
      <c r="F3" s="98" t="s">
        <v>31</v>
      </c>
      <c r="G3" s="98" t="s">
        <v>32</v>
      </c>
      <c r="H3" s="99">
        <v>20000</v>
      </c>
      <c r="I3" s="99">
        <f t="shared" ref="I3:I4" si="1">H3*0.21</f>
        <v>4200</v>
      </c>
      <c r="J3" s="99">
        <v>7500</v>
      </c>
      <c r="K3" s="98">
        <v>200</v>
      </c>
      <c r="L3" s="64">
        <f>89.37/8.15</f>
        <v>10.965644171779141</v>
      </c>
      <c r="M3" s="111">
        <v>824</v>
      </c>
      <c r="N3" s="112">
        <v>45689</v>
      </c>
      <c r="O3" s="113"/>
      <c r="P3" s="113">
        <v>-1.7</v>
      </c>
      <c r="Q3" s="113">
        <v>-6.85</v>
      </c>
      <c r="R3" s="113">
        <v>1.99</v>
      </c>
      <c r="S3" s="113">
        <v>6.96</v>
      </c>
      <c r="T3" s="113">
        <v>8.0739999999999998</v>
      </c>
      <c r="U3" s="113">
        <v>11.5</v>
      </c>
      <c r="V3" s="113">
        <v>2.75</v>
      </c>
      <c r="W3" s="113">
        <v>2.57</v>
      </c>
      <c r="X3" s="113">
        <v>6.31</v>
      </c>
      <c r="Y3" s="113">
        <v>7.91</v>
      </c>
      <c r="Z3" s="114" t="s">
        <v>163</v>
      </c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100"/>
      <c r="AO3" s="100"/>
      <c r="AP3" s="100"/>
      <c r="AQ3" s="100"/>
      <c r="AR3" s="100"/>
      <c r="AS3" s="100"/>
      <c r="AT3" s="100"/>
      <c r="AU3" s="115"/>
    </row>
    <row r="4" spans="1:47" ht="14.25" customHeight="1" x14ac:dyDescent="0.2">
      <c r="A4" s="39" t="str">
        <f t="shared" si="0"/>
        <v>|DOGE|MACD|45m</v>
      </c>
      <c r="B4" s="17" t="s">
        <v>28</v>
      </c>
      <c r="C4" s="17">
        <v>0.3125</v>
      </c>
      <c r="D4" s="17"/>
      <c r="E4" s="17" t="s">
        <v>33</v>
      </c>
      <c r="F4" s="17" t="s">
        <v>34</v>
      </c>
      <c r="G4" s="17" t="s">
        <v>32</v>
      </c>
      <c r="H4" s="24">
        <v>12500</v>
      </c>
      <c r="I4" s="40">
        <f t="shared" si="1"/>
        <v>2625</v>
      </c>
      <c r="J4" s="24">
        <v>4000</v>
      </c>
      <c r="K4" s="17">
        <v>200</v>
      </c>
      <c r="L4" s="43">
        <f>72.91/10.67</f>
        <v>6.8331771321462043</v>
      </c>
      <c r="M4" s="44">
        <v>147</v>
      </c>
      <c r="N4" s="20">
        <v>45662</v>
      </c>
      <c r="O4" s="21"/>
      <c r="P4" s="21">
        <v>-3.88</v>
      </c>
      <c r="Q4" s="21">
        <v>5.91</v>
      </c>
      <c r="R4" s="21">
        <v>-0.08</v>
      </c>
      <c r="S4" s="39">
        <v>4.72</v>
      </c>
      <c r="T4" s="39">
        <v>8.93</v>
      </c>
      <c r="U4" s="39">
        <v>2.69</v>
      </c>
      <c r="V4" s="21">
        <v>2.04</v>
      </c>
      <c r="W4" s="21">
        <v>5.31</v>
      </c>
      <c r="X4" s="21">
        <v>0.72</v>
      </c>
      <c r="Y4" s="21">
        <v>3.27</v>
      </c>
      <c r="Z4" s="116" t="s">
        <v>164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42"/>
      <c r="AO4" s="42"/>
      <c r="AP4" s="42"/>
      <c r="AQ4" s="42"/>
      <c r="AR4" s="42"/>
      <c r="AS4" s="42"/>
      <c r="AT4" s="42"/>
      <c r="AU4" s="42"/>
    </row>
    <row r="5" spans="1:47" ht="13.5" customHeight="1" x14ac:dyDescent="0.2">
      <c r="A5" s="100" t="str">
        <f t="shared" si="0"/>
        <v>[1b37681c]|XRP|FVMA|2H</v>
      </c>
      <c r="B5" s="63" t="s">
        <v>165</v>
      </c>
      <c r="C5" s="63">
        <v>0.2</v>
      </c>
      <c r="D5" s="63" t="s">
        <v>166</v>
      </c>
      <c r="E5" s="63" t="s">
        <v>167</v>
      </c>
      <c r="F5" s="63" t="s">
        <v>168</v>
      </c>
      <c r="G5" s="63" t="s">
        <v>149</v>
      </c>
      <c r="H5" s="66"/>
      <c r="I5" s="66"/>
      <c r="J5" s="66"/>
      <c r="K5" s="66"/>
      <c r="L5" s="66">
        <f>35.83/11.66</f>
        <v>3.0728987993138936</v>
      </c>
      <c r="M5" s="117">
        <v>125</v>
      </c>
      <c r="N5" s="68">
        <v>45689</v>
      </c>
      <c r="O5" s="69"/>
      <c r="P5" s="69">
        <v>-5.8</v>
      </c>
      <c r="Q5" s="69">
        <v>-4.2699999999999996</v>
      </c>
      <c r="R5" s="69">
        <v>-4.3099999999999996</v>
      </c>
      <c r="S5" s="69">
        <v>2.27</v>
      </c>
      <c r="T5" s="69">
        <v>0.01</v>
      </c>
      <c r="U5" s="69">
        <v>5.5</v>
      </c>
      <c r="V5" s="69">
        <v>-0.93</v>
      </c>
      <c r="W5" s="69">
        <v>1.54</v>
      </c>
      <c r="X5" s="69">
        <v>3.47</v>
      </c>
      <c r="Y5" s="69">
        <v>0.81</v>
      </c>
      <c r="Z5" s="118" t="s">
        <v>169</v>
      </c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115"/>
      <c r="AO5" s="115"/>
      <c r="AP5" s="115"/>
      <c r="AQ5" s="115"/>
      <c r="AR5" s="115"/>
      <c r="AS5" s="115"/>
      <c r="AT5" s="115"/>
      <c r="AU5" s="115"/>
    </row>
    <row r="6" spans="1:47" ht="14.25" customHeight="1" x14ac:dyDescent="0.2">
      <c r="A6" s="119" t="str">
        <f t="shared" si="0"/>
        <v>[f80d2657]|PePe|JP Trend|30m</v>
      </c>
      <c r="B6" s="120" t="s">
        <v>28</v>
      </c>
      <c r="C6" s="120">
        <v>0.2</v>
      </c>
      <c r="D6" s="120" t="s">
        <v>39</v>
      </c>
      <c r="E6" s="120" t="s">
        <v>40</v>
      </c>
      <c r="F6" s="120" t="s">
        <v>41</v>
      </c>
      <c r="G6" s="121" t="s">
        <v>38</v>
      </c>
      <c r="H6" s="122">
        <v>8000</v>
      </c>
      <c r="I6" s="123">
        <f t="shared" ref="I6:I7" si="2">H6*0.21</f>
        <v>1680</v>
      </c>
      <c r="J6" s="122">
        <v>3100</v>
      </c>
      <c r="K6" s="120">
        <v>120</v>
      </c>
      <c r="L6" s="124">
        <f>90.96/8.02</f>
        <v>11.341645885286782</v>
      </c>
      <c r="M6" s="125">
        <v>302</v>
      </c>
      <c r="N6" s="126">
        <v>45662</v>
      </c>
      <c r="O6" s="127"/>
      <c r="P6" s="127">
        <v>3.05</v>
      </c>
      <c r="Q6" s="127">
        <v>1.52</v>
      </c>
      <c r="R6" s="127">
        <v>-3.15</v>
      </c>
      <c r="S6" s="127">
        <v>2.2999999999999998</v>
      </c>
      <c r="T6" s="127">
        <v>-0.12</v>
      </c>
      <c r="U6" s="127">
        <v>5.69</v>
      </c>
      <c r="V6" s="127">
        <v>-1.33</v>
      </c>
      <c r="W6" s="127">
        <v>2.12</v>
      </c>
      <c r="X6" s="127">
        <v>3.07</v>
      </c>
      <c r="Y6" s="127">
        <v>3.75</v>
      </c>
      <c r="Z6" s="128" t="s">
        <v>170</v>
      </c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9"/>
      <c r="AO6" s="129"/>
      <c r="AP6" s="129"/>
      <c r="AQ6" s="129"/>
      <c r="AR6" s="129"/>
      <c r="AS6" s="129"/>
      <c r="AT6" s="129"/>
      <c r="AU6" s="129"/>
    </row>
    <row r="7" spans="1:47" ht="14.25" customHeight="1" x14ac:dyDescent="0.2">
      <c r="A7" s="100" t="str">
        <f t="shared" si="0"/>
        <v>|PePe|T3 Nexus|30m</v>
      </c>
      <c r="B7" s="98" t="s">
        <v>28</v>
      </c>
      <c r="C7" s="98">
        <v>0.15</v>
      </c>
      <c r="D7" s="98"/>
      <c r="E7" s="98" t="s">
        <v>40</v>
      </c>
      <c r="F7" s="98" t="s">
        <v>82</v>
      </c>
      <c r="G7" s="98" t="s">
        <v>38</v>
      </c>
      <c r="H7" s="65">
        <v>6000</v>
      </c>
      <c r="I7" s="99">
        <f t="shared" si="2"/>
        <v>1260</v>
      </c>
      <c r="J7" s="65">
        <v>2200</v>
      </c>
      <c r="K7" s="63">
        <v>100</v>
      </c>
      <c r="L7" s="64">
        <f>22.42/27.25</f>
        <v>0.82275229357798174</v>
      </c>
      <c r="M7" s="111">
        <v>748</v>
      </c>
      <c r="N7" s="112">
        <v>45662</v>
      </c>
      <c r="O7" s="113"/>
      <c r="P7" s="113">
        <v>-8.9600000000000009</v>
      </c>
      <c r="Q7" s="113">
        <v>-0.19</v>
      </c>
      <c r="R7" s="113">
        <v>6.1</v>
      </c>
      <c r="S7" s="113">
        <v>3.29</v>
      </c>
      <c r="T7" s="113">
        <v>1.47</v>
      </c>
      <c r="U7" s="113">
        <v>6.2</v>
      </c>
      <c r="V7" s="113">
        <v>-4.5</v>
      </c>
      <c r="W7" s="113">
        <v>4.74</v>
      </c>
      <c r="X7" s="113">
        <v>1.1599999999999999</v>
      </c>
      <c r="Y7" s="113">
        <v>7.62</v>
      </c>
      <c r="Z7" s="114" t="s">
        <v>171</v>
      </c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115"/>
      <c r="AO7" s="115"/>
      <c r="AP7" s="115"/>
      <c r="AQ7" s="115"/>
      <c r="AR7" s="115"/>
      <c r="AS7" s="115"/>
      <c r="AT7" s="115"/>
      <c r="AU7" s="115"/>
    </row>
    <row r="8" spans="1:47" ht="14.25" customHeight="1" x14ac:dyDescent="0.2">
      <c r="A8" s="39" t="str">
        <f t="shared" si="0"/>
        <v>[9e41937c]|NEAR|Stiff Surge|45m</v>
      </c>
      <c r="B8" s="17" t="s">
        <v>28</v>
      </c>
      <c r="C8" s="17">
        <v>0.15</v>
      </c>
      <c r="D8" s="17" t="s">
        <v>150</v>
      </c>
      <c r="E8" s="17" t="s">
        <v>57</v>
      </c>
      <c r="F8" s="17" t="s">
        <v>58</v>
      </c>
      <c r="G8" s="17" t="s">
        <v>32</v>
      </c>
      <c r="H8" s="19"/>
      <c r="I8" s="19"/>
      <c r="J8" s="19"/>
      <c r="K8" s="19"/>
      <c r="L8" s="19">
        <f>29.32/14.91</f>
        <v>1.9664654594232058</v>
      </c>
      <c r="M8" s="46">
        <v>399</v>
      </c>
      <c r="N8" s="81">
        <v>45863</v>
      </c>
      <c r="O8" s="21"/>
      <c r="P8" s="21">
        <v>-4.47</v>
      </c>
      <c r="Q8" s="21">
        <v>0.43</v>
      </c>
      <c r="R8" s="21">
        <v>1.0900000000000001</v>
      </c>
      <c r="S8" s="21">
        <v>7.72</v>
      </c>
      <c r="T8" s="21">
        <v>-3.19</v>
      </c>
      <c r="U8" s="21">
        <v>6.61</v>
      </c>
      <c r="V8" s="21">
        <v>-0.06</v>
      </c>
      <c r="W8" s="21">
        <v>1.53</v>
      </c>
      <c r="X8" s="21">
        <v>1.26</v>
      </c>
      <c r="Y8" s="21">
        <v>7.1</v>
      </c>
      <c r="Z8" s="130" t="s">
        <v>172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42"/>
    </row>
    <row r="9" spans="1:47" ht="14.25" customHeight="1" x14ac:dyDescent="0.2">
      <c r="A9" s="39" t="str">
        <f t="shared" si="0"/>
        <v>|NEAR|Trendhoo|30m</v>
      </c>
      <c r="B9" s="17" t="s">
        <v>28</v>
      </c>
      <c r="C9" s="17">
        <v>0.15</v>
      </c>
      <c r="D9" s="17"/>
      <c r="E9" s="17" t="s">
        <v>57</v>
      </c>
      <c r="F9" s="17" t="s">
        <v>67</v>
      </c>
      <c r="G9" s="17" t="s">
        <v>38</v>
      </c>
      <c r="H9" s="43"/>
      <c r="I9" s="43"/>
      <c r="J9" s="43"/>
      <c r="K9" s="43"/>
      <c r="L9" s="43">
        <f>23.33/7.82</f>
        <v>2.9833759590792837</v>
      </c>
      <c r="M9" s="44">
        <v>223</v>
      </c>
      <c r="N9" s="20">
        <v>45778</v>
      </c>
      <c r="O9" s="21"/>
      <c r="P9" s="21">
        <v>-3.3</v>
      </c>
      <c r="Q9" s="21">
        <v>-0.13</v>
      </c>
      <c r="R9" s="21">
        <v>0.06</v>
      </c>
      <c r="S9" s="21">
        <v>-1.45</v>
      </c>
      <c r="T9" s="21">
        <v>2.2200000000000002</v>
      </c>
      <c r="U9" s="21">
        <v>-0.98</v>
      </c>
      <c r="V9" s="21">
        <v>1.82</v>
      </c>
      <c r="W9" s="21">
        <v>-0.31</v>
      </c>
      <c r="X9" s="21">
        <v>1.04</v>
      </c>
      <c r="Y9" s="21">
        <v>4.2</v>
      </c>
      <c r="Z9" s="116" t="s">
        <v>173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42"/>
    </row>
    <row r="10" spans="1:47" ht="14.25" customHeight="1" x14ac:dyDescent="0.2">
      <c r="A10" s="39" t="str">
        <f t="shared" si="0"/>
        <v>[3111f1fd]|NEAR|Stiff Surge|1H</v>
      </c>
      <c r="B10" s="17" t="s">
        <v>28</v>
      </c>
      <c r="C10" s="17">
        <v>0.15</v>
      </c>
      <c r="D10" s="17" t="s">
        <v>56</v>
      </c>
      <c r="E10" s="17" t="s">
        <v>57</v>
      </c>
      <c r="F10" s="17" t="s">
        <v>58</v>
      </c>
      <c r="G10" s="17" t="s">
        <v>52</v>
      </c>
      <c r="H10" s="19"/>
      <c r="I10" s="19"/>
      <c r="J10" s="19"/>
      <c r="K10" s="19"/>
      <c r="L10" s="19">
        <f>34.32/10.84</f>
        <v>3.1660516605166054</v>
      </c>
      <c r="M10" s="46">
        <v>237</v>
      </c>
      <c r="N10" s="20">
        <v>45717</v>
      </c>
      <c r="O10" s="21"/>
      <c r="P10" s="21">
        <v>-1.39</v>
      </c>
      <c r="Q10" s="21">
        <v>0.56000000000000005</v>
      </c>
      <c r="R10" s="21">
        <v>-0.43</v>
      </c>
      <c r="S10" s="21">
        <v>-0.45</v>
      </c>
      <c r="T10" s="21">
        <v>4.99</v>
      </c>
      <c r="U10" s="21">
        <v>4.37</v>
      </c>
      <c r="V10" s="21">
        <v>-1.47</v>
      </c>
      <c r="W10" s="21">
        <v>1.85</v>
      </c>
      <c r="X10" s="21">
        <v>-0.11</v>
      </c>
      <c r="Y10" s="21">
        <v>1.53</v>
      </c>
      <c r="Z10" s="131" t="s">
        <v>174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42"/>
    </row>
    <row r="11" spans="1:47" ht="14.25" customHeight="1" x14ac:dyDescent="0.2">
      <c r="A11" s="39" t="str">
        <f t="shared" si="0"/>
        <v>[e92283ec]|HBAR|Heiken-Ashi|30m</v>
      </c>
      <c r="B11" s="17" t="s">
        <v>28</v>
      </c>
      <c r="C11" s="17">
        <v>0.25</v>
      </c>
      <c r="D11" s="17" t="s">
        <v>35</v>
      </c>
      <c r="E11" s="17" t="s">
        <v>36</v>
      </c>
      <c r="F11" s="17" t="s">
        <v>37</v>
      </c>
      <c r="G11" s="23" t="s">
        <v>38</v>
      </c>
      <c r="H11" s="24">
        <v>10000</v>
      </c>
      <c r="I11" s="40">
        <f t="shared" ref="I11:I13" si="3">H11*0.21</f>
        <v>2100</v>
      </c>
      <c r="J11" s="24">
        <v>3000</v>
      </c>
      <c r="K11" s="17">
        <v>120</v>
      </c>
      <c r="L11" s="43">
        <f>42.34/6.25</f>
        <v>6.7744000000000009</v>
      </c>
      <c r="M11" s="44">
        <v>224</v>
      </c>
      <c r="N11" s="45">
        <v>45833</v>
      </c>
      <c r="O11" s="21"/>
      <c r="P11" s="21">
        <v>1.01</v>
      </c>
      <c r="Q11" s="21">
        <v>-1.1499999999999999</v>
      </c>
      <c r="R11" s="21">
        <v>0.83</v>
      </c>
      <c r="S11" s="21">
        <v>1.52</v>
      </c>
      <c r="T11" s="21">
        <v>-0.03</v>
      </c>
      <c r="U11" s="21">
        <v>4.38</v>
      </c>
      <c r="V11" s="21">
        <v>1.95</v>
      </c>
      <c r="W11" s="21">
        <v>1.98</v>
      </c>
      <c r="X11" s="21">
        <v>4.59</v>
      </c>
      <c r="Y11" s="21">
        <v>-1.3</v>
      </c>
      <c r="Z11" s="132" t="s">
        <v>175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42"/>
      <c r="AO11" s="42"/>
      <c r="AP11" s="42"/>
      <c r="AQ11" s="42"/>
      <c r="AR11" s="42"/>
      <c r="AS11" s="42"/>
      <c r="AT11" s="42"/>
      <c r="AU11" s="42"/>
    </row>
    <row r="12" spans="1:47" ht="14.25" customHeight="1" x14ac:dyDescent="0.2">
      <c r="A12" s="39" t="str">
        <f t="shared" si="0"/>
        <v>[fa32aee4]|LINK|McGinley|45m</v>
      </c>
      <c r="B12" s="23" t="s">
        <v>28</v>
      </c>
      <c r="C12" s="17">
        <v>0.2</v>
      </c>
      <c r="D12" s="17" t="s">
        <v>55</v>
      </c>
      <c r="E12" s="17" t="s">
        <v>25</v>
      </c>
      <c r="F12" s="17" t="s">
        <v>47</v>
      </c>
      <c r="G12" s="23" t="s">
        <v>32</v>
      </c>
      <c r="H12" s="17">
        <v>8000</v>
      </c>
      <c r="I12" s="40">
        <f t="shared" si="3"/>
        <v>1680</v>
      </c>
      <c r="J12" s="24">
        <v>3000</v>
      </c>
      <c r="K12" s="17">
        <v>160</v>
      </c>
      <c r="L12" s="43">
        <f>78.08/4.68</f>
        <v>16.683760683760685</v>
      </c>
      <c r="M12" s="44">
        <v>176</v>
      </c>
      <c r="N12" s="45">
        <v>45833</v>
      </c>
      <c r="O12" s="21"/>
      <c r="P12" s="21">
        <v>-2.02</v>
      </c>
      <c r="Q12" s="21">
        <v>0.36</v>
      </c>
      <c r="R12" s="21">
        <v>7</v>
      </c>
      <c r="S12" s="21">
        <v>3.76</v>
      </c>
      <c r="T12" s="21">
        <v>2.2200000000000002</v>
      </c>
      <c r="U12" s="21">
        <v>6.68</v>
      </c>
      <c r="V12" s="21">
        <v>-0.14000000000000001</v>
      </c>
      <c r="W12" s="21">
        <v>5.22</v>
      </c>
      <c r="X12" s="21">
        <v>0</v>
      </c>
      <c r="Y12" s="21">
        <v>0.13</v>
      </c>
      <c r="Z12" s="132" t="s">
        <v>176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42"/>
      <c r="AO12" s="42"/>
      <c r="AP12" s="42"/>
      <c r="AQ12" s="42"/>
      <c r="AR12" s="42"/>
      <c r="AS12" s="42"/>
      <c r="AT12" s="42"/>
      <c r="AU12" s="42"/>
    </row>
    <row r="13" spans="1:47" ht="14.25" customHeight="1" x14ac:dyDescent="0.2">
      <c r="A13" s="39" t="str">
        <f t="shared" si="0"/>
        <v>|LINK|McGinley|45m</v>
      </c>
      <c r="B13" s="17" t="s">
        <v>28</v>
      </c>
      <c r="C13" s="17">
        <v>0.3</v>
      </c>
      <c r="D13" s="17"/>
      <c r="E13" s="17" t="s">
        <v>25</v>
      </c>
      <c r="F13" s="17" t="s">
        <v>47</v>
      </c>
      <c r="G13" s="17" t="s">
        <v>32</v>
      </c>
      <c r="H13" s="17">
        <v>12000</v>
      </c>
      <c r="I13" s="40">
        <f t="shared" si="3"/>
        <v>2520</v>
      </c>
      <c r="J13" s="24">
        <v>3100</v>
      </c>
      <c r="K13" s="17">
        <v>100</v>
      </c>
      <c r="L13" s="43">
        <f>21.89/2.83</f>
        <v>7.7349823321554769</v>
      </c>
      <c r="M13" s="44">
        <v>147</v>
      </c>
      <c r="N13" s="133">
        <v>45802</v>
      </c>
      <c r="O13" s="21"/>
      <c r="P13" s="21">
        <v>-0.55000000000000004</v>
      </c>
      <c r="Q13" s="21">
        <v>-1.1000000000000001</v>
      </c>
      <c r="R13" s="21">
        <v>2.98</v>
      </c>
      <c r="S13" s="21">
        <v>2.97</v>
      </c>
      <c r="T13" s="21">
        <v>2.9</v>
      </c>
      <c r="U13" s="21">
        <v>2</v>
      </c>
      <c r="V13" s="21">
        <v>2.2400000000000002</v>
      </c>
      <c r="W13" s="21">
        <v>0.79</v>
      </c>
      <c r="X13" s="21">
        <v>0.69</v>
      </c>
      <c r="Y13" s="21">
        <v>-0.61</v>
      </c>
      <c r="Z13" s="116" t="s">
        <v>177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42"/>
      <c r="AO13" s="42"/>
      <c r="AP13" s="42"/>
      <c r="AQ13" s="42"/>
      <c r="AR13" s="42"/>
      <c r="AS13" s="42"/>
      <c r="AT13" s="42"/>
      <c r="AU13" s="42"/>
    </row>
    <row r="14" spans="1:47" ht="14.25" customHeight="1" x14ac:dyDescent="0.2">
      <c r="A14" s="39" t="str">
        <f t="shared" si="0"/>
        <v>[967f469a]|LINK|McGingley|45m</v>
      </c>
      <c r="B14" s="17" t="s">
        <v>28</v>
      </c>
      <c r="C14" s="17">
        <v>0.3</v>
      </c>
      <c r="D14" s="17" t="s">
        <v>78</v>
      </c>
      <c r="E14" s="17" t="s">
        <v>25</v>
      </c>
      <c r="F14" s="17" t="s">
        <v>79</v>
      </c>
      <c r="G14" s="17" t="s">
        <v>32</v>
      </c>
      <c r="H14" s="19"/>
      <c r="I14" s="19"/>
      <c r="J14" s="19"/>
      <c r="K14" s="19"/>
      <c r="L14" s="19">
        <f>29.62/1.48</f>
        <v>20.013513513513516</v>
      </c>
      <c r="M14" s="46">
        <v>83</v>
      </c>
      <c r="N14" s="20">
        <v>45717</v>
      </c>
      <c r="O14" s="21"/>
      <c r="P14" s="21">
        <v>-1.22</v>
      </c>
      <c r="Q14" s="21">
        <v>0.61</v>
      </c>
      <c r="R14" s="21">
        <v>1.39</v>
      </c>
      <c r="S14" s="21">
        <v>0.12</v>
      </c>
      <c r="T14" s="21">
        <v>1.48</v>
      </c>
      <c r="U14" s="21">
        <v>0.54</v>
      </c>
      <c r="V14" s="21">
        <v>0.91</v>
      </c>
      <c r="W14" s="21">
        <v>0.02</v>
      </c>
      <c r="X14" s="21">
        <v>0.97</v>
      </c>
      <c r="Y14" s="21">
        <v>-0.53</v>
      </c>
      <c r="Z14" s="116" t="s">
        <v>178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42"/>
      <c r="AO14" s="42"/>
      <c r="AP14" s="42"/>
      <c r="AQ14" s="42"/>
      <c r="AR14" s="42"/>
      <c r="AS14" s="42"/>
      <c r="AT14" s="42"/>
      <c r="AU14" s="42"/>
    </row>
    <row r="15" spans="1:47" x14ac:dyDescent="0.2">
      <c r="A15" s="39" t="str">
        <f t="shared" si="0"/>
        <v>|SOL|precisionTrend|45m</v>
      </c>
      <c r="B15" s="17" t="s">
        <v>28</v>
      </c>
      <c r="C15" s="17">
        <v>0.15</v>
      </c>
      <c r="D15" s="17"/>
      <c r="E15" s="17" t="s">
        <v>43</v>
      </c>
      <c r="F15" s="17" t="s">
        <v>54</v>
      </c>
      <c r="G15" s="17" t="s">
        <v>32</v>
      </c>
      <c r="H15" s="17">
        <v>6000</v>
      </c>
      <c r="I15" s="40">
        <f>H15*0.21</f>
        <v>1260</v>
      </c>
      <c r="J15" s="24">
        <v>1800</v>
      </c>
      <c r="K15" s="17">
        <v>90</v>
      </c>
      <c r="L15" s="19">
        <f>44.6/8.23</f>
        <v>5.4191980558930739</v>
      </c>
      <c r="M15" s="17">
        <v>145</v>
      </c>
      <c r="N15" s="45">
        <v>45863</v>
      </c>
      <c r="O15" s="21"/>
      <c r="P15" s="21">
        <v>-4.22</v>
      </c>
      <c r="Q15" s="134">
        <v>-0.15</v>
      </c>
      <c r="R15" s="134">
        <v>-3.28</v>
      </c>
      <c r="S15" s="134">
        <v>8.1300000000000008</v>
      </c>
      <c r="T15" s="134">
        <v>4.33</v>
      </c>
      <c r="U15" s="134">
        <v>3.41</v>
      </c>
      <c r="V15" s="134">
        <v>-2.52</v>
      </c>
      <c r="W15" s="134">
        <v>2.5499999999999998</v>
      </c>
      <c r="X15" s="134">
        <v>2.1800000000000002</v>
      </c>
      <c r="Y15" s="134">
        <v>7.37</v>
      </c>
      <c r="Z15" s="132" t="s">
        <v>179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42"/>
      <c r="AO15" s="42"/>
      <c r="AP15" s="42"/>
      <c r="AQ15" s="42"/>
      <c r="AR15" s="42"/>
      <c r="AS15" s="42"/>
      <c r="AT15" s="42"/>
      <c r="AU15" s="42"/>
    </row>
    <row r="16" spans="1:47" ht="14.25" customHeight="1" x14ac:dyDescent="0.2">
      <c r="A16" s="39" t="str">
        <f t="shared" si="0"/>
        <v>[0436a8e8]|SOL|Trendhoo|90m</v>
      </c>
      <c r="B16" s="17" t="s">
        <v>28</v>
      </c>
      <c r="C16" s="17">
        <v>0.2</v>
      </c>
      <c r="D16" s="17" t="s">
        <v>66</v>
      </c>
      <c r="E16" s="17" t="s">
        <v>43</v>
      </c>
      <c r="F16" s="17" t="s">
        <v>67</v>
      </c>
      <c r="G16" s="17" t="s">
        <v>48</v>
      </c>
      <c r="H16" s="43"/>
      <c r="I16" s="43"/>
      <c r="J16" s="43"/>
      <c r="K16" s="43"/>
      <c r="L16" s="43">
        <f>20.84/4.13</f>
        <v>5.0460048426150124</v>
      </c>
      <c r="M16" s="44">
        <v>327</v>
      </c>
      <c r="N16" s="45">
        <v>45863</v>
      </c>
      <c r="O16" s="21"/>
      <c r="P16" s="21">
        <v>-0.57999999999999996</v>
      </c>
      <c r="Q16" s="21">
        <v>2.2999999999999998</v>
      </c>
      <c r="R16" s="21">
        <v>0.88</v>
      </c>
      <c r="S16" s="21">
        <v>0.88</v>
      </c>
      <c r="T16" s="21">
        <v>-0.19</v>
      </c>
      <c r="U16" s="21">
        <v>-0.1</v>
      </c>
      <c r="V16" s="21">
        <v>-0.52</v>
      </c>
      <c r="W16" s="21">
        <v>1.1100000000000001</v>
      </c>
      <c r="X16" s="21">
        <v>2.02</v>
      </c>
      <c r="Y16" s="21">
        <v>2.73</v>
      </c>
      <c r="Z16" s="132" t="s">
        <v>180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42"/>
      <c r="AO16" s="42"/>
      <c r="AP16" s="42"/>
      <c r="AQ16" s="42"/>
      <c r="AR16" s="42"/>
      <c r="AS16" s="42"/>
      <c r="AT16" s="42"/>
      <c r="AU16" s="42"/>
    </row>
    <row r="17" spans="1:47" ht="14.25" customHeight="1" x14ac:dyDescent="0.2">
      <c r="A17" s="39" t="str">
        <f t="shared" si="0"/>
        <v>[492724a5]|SOL|TTMS|30m</v>
      </c>
      <c r="B17" s="17" t="s">
        <v>28</v>
      </c>
      <c r="C17" s="17">
        <v>0.2</v>
      </c>
      <c r="D17" s="17" t="s">
        <v>110</v>
      </c>
      <c r="E17" s="17" t="s">
        <v>43</v>
      </c>
      <c r="F17" s="17" t="s">
        <v>111</v>
      </c>
      <c r="G17" s="17" t="s">
        <v>38</v>
      </c>
      <c r="H17" s="43"/>
      <c r="I17" s="43"/>
      <c r="J17" s="43"/>
      <c r="K17" s="43"/>
      <c r="L17" s="43">
        <f>26.9/6.32</f>
        <v>4.2563291139240498</v>
      </c>
      <c r="M17" s="44">
        <v>482</v>
      </c>
      <c r="N17" s="45">
        <v>45863</v>
      </c>
      <c r="O17" s="21"/>
      <c r="P17" s="21">
        <v>1.71</v>
      </c>
      <c r="Q17" s="21">
        <v>-0.73</v>
      </c>
      <c r="R17" s="21">
        <v>-2.65</v>
      </c>
      <c r="S17" s="21">
        <v>1.44</v>
      </c>
      <c r="T17" s="21">
        <v>1.63</v>
      </c>
      <c r="U17" s="21">
        <v>2.29</v>
      </c>
      <c r="V17" s="21">
        <v>0.11</v>
      </c>
      <c r="W17" s="21">
        <v>-0.42</v>
      </c>
      <c r="X17" s="21">
        <v>2.36</v>
      </c>
      <c r="Y17" s="21">
        <v>6.03</v>
      </c>
      <c r="Z17" s="132" t="s">
        <v>181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42"/>
      <c r="AO17" s="42"/>
      <c r="AP17" s="42"/>
      <c r="AQ17" s="42"/>
      <c r="AR17" s="42"/>
      <c r="AS17" s="42"/>
      <c r="AT17" s="42"/>
      <c r="AU17" s="42"/>
    </row>
    <row r="18" spans="1:47" ht="14.25" customHeight="1" x14ac:dyDescent="0.2">
      <c r="A18" s="39" t="str">
        <f t="shared" si="0"/>
        <v>[c2afa489]|ETH|superStrike|1H</v>
      </c>
      <c r="B18" s="17" t="s">
        <v>28</v>
      </c>
      <c r="C18" s="17">
        <v>0.2</v>
      </c>
      <c r="D18" s="17" t="s">
        <v>146</v>
      </c>
      <c r="E18" s="17" t="s">
        <v>46</v>
      </c>
      <c r="F18" s="17" t="s">
        <v>147</v>
      </c>
      <c r="G18" s="17" t="s">
        <v>52</v>
      </c>
      <c r="H18" s="17">
        <v>8000</v>
      </c>
      <c r="I18" s="40">
        <f t="shared" ref="I18:I20" si="4">H18*0.21</f>
        <v>1680</v>
      </c>
      <c r="J18" s="24">
        <v>3300</v>
      </c>
      <c r="K18" s="17">
        <v>100</v>
      </c>
      <c r="L18" s="19">
        <f>39.7/3.89</f>
        <v>10.205655526992288</v>
      </c>
      <c r="M18" s="46">
        <v>213</v>
      </c>
      <c r="N18" s="20">
        <v>45713</v>
      </c>
      <c r="O18" s="21"/>
      <c r="P18" s="21">
        <v>-0.28000000000000003</v>
      </c>
      <c r="Q18" s="21">
        <v>-2.1800000000000002</v>
      </c>
      <c r="R18" s="21">
        <v>1.05</v>
      </c>
      <c r="S18" s="21">
        <v>4.1500000000000004</v>
      </c>
      <c r="T18" s="21">
        <v>-3.52</v>
      </c>
      <c r="U18" s="21">
        <v>3.5</v>
      </c>
      <c r="V18" s="21">
        <v>2.36</v>
      </c>
      <c r="W18" s="21">
        <v>-0.48</v>
      </c>
      <c r="X18" s="21">
        <v>1.94</v>
      </c>
      <c r="Y18" s="21">
        <v>0.32</v>
      </c>
      <c r="Z18" s="116" t="s">
        <v>182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42"/>
      <c r="AO18" s="42"/>
      <c r="AP18" s="42"/>
      <c r="AQ18" s="42"/>
      <c r="AR18" s="42"/>
      <c r="AS18" s="42"/>
      <c r="AT18" s="42"/>
      <c r="AU18" s="42"/>
    </row>
    <row r="19" spans="1:47" ht="14.25" customHeight="1" x14ac:dyDescent="0.2">
      <c r="A19" s="39" t="str">
        <f t="shared" si="0"/>
        <v>[6dcd4dc9]|ETH|precisionTrend|30m</v>
      </c>
      <c r="B19" s="17" t="s">
        <v>28</v>
      </c>
      <c r="C19" s="17">
        <v>0.2</v>
      </c>
      <c r="D19" s="17" t="s">
        <v>86</v>
      </c>
      <c r="E19" s="17" t="s">
        <v>46</v>
      </c>
      <c r="F19" s="17" t="s">
        <v>54</v>
      </c>
      <c r="G19" s="23" t="s">
        <v>38</v>
      </c>
      <c r="H19" s="17">
        <v>8000</v>
      </c>
      <c r="I19" s="40">
        <f t="shared" si="4"/>
        <v>1680</v>
      </c>
      <c r="J19" s="24">
        <v>6200</v>
      </c>
      <c r="K19" s="17">
        <v>100</v>
      </c>
      <c r="L19" s="43">
        <f>81.98/8.9</f>
        <v>9.2112359550561802</v>
      </c>
      <c r="M19" s="44">
        <v>312</v>
      </c>
      <c r="N19" s="45">
        <v>45772</v>
      </c>
      <c r="O19" s="21"/>
      <c r="P19" s="21">
        <v>1.07</v>
      </c>
      <c r="Q19" s="21">
        <v>-2.52</v>
      </c>
      <c r="R19" s="21">
        <v>1.84</v>
      </c>
      <c r="S19" s="21">
        <v>3.9</v>
      </c>
      <c r="T19" s="21">
        <v>1.37</v>
      </c>
      <c r="U19" s="21">
        <v>6.22</v>
      </c>
      <c r="V19" s="21">
        <v>3</v>
      </c>
      <c r="W19" s="21">
        <v>3.99</v>
      </c>
      <c r="X19" s="21">
        <v>0.93</v>
      </c>
      <c r="Y19" s="21">
        <v>2.21</v>
      </c>
      <c r="Z19" s="132" t="s">
        <v>183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42"/>
      <c r="AO19" s="42"/>
      <c r="AP19" s="42"/>
      <c r="AQ19" s="42"/>
      <c r="AR19" s="42"/>
      <c r="AS19" s="42"/>
      <c r="AT19" s="42"/>
      <c r="AU19" s="42"/>
    </row>
    <row r="20" spans="1:47" ht="14.25" customHeight="1" x14ac:dyDescent="0.2">
      <c r="A20" s="39" t="str">
        <f t="shared" si="0"/>
        <v>[a9aeb4cc]|ETH|McGinley|90m</v>
      </c>
      <c r="B20" s="1" t="s">
        <v>28</v>
      </c>
      <c r="C20" s="1">
        <v>0.375</v>
      </c>
      <c r="D20" s="1" t="s">
        <v>45</v>
      </c>
      <c r="E20" s="1" t="s">
        <v>46</v>
      </c>
      <c r="F20" s="1" t="s">
        <v>47</v>
      </c>
      <c r="G20" s="1" t="s">
        <v>48</v>
      </c>
      <c r="H20" s="1">
        <v>15000</v>
      </c>
      <c r="I20" s="40">
        <f t="shared" si="4"/>
        <v>3150</v>
      </c>
      <c r="J20" s="2">
        <v>5000</v>
      </c>
      <c r="K20" s="1">
        <v>120</v>
      </c>
      <c r="L20" s="18">
        <f>18.84/2.54</f>
        <v>7.4173228346456694</v>
      </c>
      <c r="M20" s="4">
        <v>72</v>
      </c>
      <c r="N20" s="76">
        <v>45772</v>
      </c>
      <c r="O20" s="3"/>
      <c r="P20" s="3">
        <v>-0.43</v>
      </c>
      <c r="Q20" s="3">
        <v>-0.39</v>
      </c>
      <c r="R20" s="3">
        <v>2.4500000000000002</v>
      </c>
      <c r="S20" s="3">
        <v>-0.24</v>
      </c>
      <c r="T20" s="3">
        <v>0.53</v>
      </c>
      <c r="U20" s="3">
        <v>2.38</v>
      </c>
      <c r="V20" s="3">
        <v>0.94</v>
      </c>
      <c r="W20" s="3">
        <v>0</v>
      </c>
      <c r="X20" s="3">
        <v>2.77</v>
      </c>
      <c r="Y20" s="3">
        <v>-0.13</v>
      </c>
      <c r="Z20" s="135" t="s">
        <v>184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3" spans="1:47" ht="14.25" customHeight="1" x14ac:dyDescent="0.2">
      <c r="A23" s="39" t="str">
        <f t="shared" ref="A23:A38" si="5">D23&amp;"|"&amp;E23&amp;"|"&amp;F23&amp;"|"&amp;G23</f>
        <v>|APE|precisionTrend|30m</v>
      </c>
      <c r="B23" s="1" t="s">
        <v>28</v>
      </c>
      <c r="C23" s="1">
        <v>0.375</v>
      </c>
      <c r="D23" s="1"/>
      <c r="E23" s="1" t="s">
        <v>53</v>
      </c>
      <c r="F23" s="1" t="s">
        <v>54</v>
      </c>
      <c r="G23" s="136" t="s">
        <v>38</v>
      </c>
      <c r="H23" s="2">
        <v>15000</v>
      </c>
      <c r="I23" s="40">
        <f>H23*0.21</f>
        <v>3150</v>
      </c>
      <c r="J23" s="2">
        <v>2500</v>
      </c>
      <c r="K23" s="1">
        <v>120</v>
      </c>
      <c r="L23" s="18">
        <f>33.37/8.01</f>
        <v>4.1660424469413231</v>
      </c>
      <c r="M23" s="4">
        <v>278</v>
      </c>
      <c r="N23" s="104">
        <v>45778</v>
      </c>
      <c r="O23" s="3"/>
      <c r="P23" s="3">
        <v>-0.99</v>
      </c>
      <c r="Q23" s="3">
        <v>3</v>
      </c>
      <c r="R23" s="3">
        <v>1.66</v>
      </c>
      <c r="S23" s="3">
        <v>-2.79</v>
      </c>
      <c r="T23" s="3">
        <v>0.63</v>
      </c>
      <c r="U23" s="3">
        <v>6.17</v>
      </c>
      <c r="V23" s="3">
        <v>3.56</v>
      </c>
      <c r="W23" s="3">
        <v>0.87</v>
      </c>
      <c r="X23" s="3">
        <v>1.73</v>
      </c>
      <c r="Y23" s="3">
        <v>3.54</v>
      </c>
      <c r="Z23" s="135" t="s">
        <v>185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47" x14ac:dyDescent="0.2">
      <c r="A24" s="39" t="str">
        <f t="shared" si="5"/>
        <v>[fbf06b43]|MNT|Trendhoo|37m</v>
      </c>
      <c r="B24" s="129" t="s">
        <v>28</v>
      </c>
      <c r="C24" s="120">
        <v>0.2</v>
      </c>
      <c r="D24" s="129" t="s">
        <v>101</v>
      </c>
      <c r="E24" s="129" t="s">
        <v>102</v>
      </c>
      <c r="F24" s="129" t="s">
        <v>67</v>
      </c>
      <c r="G24" s="129" t="s">
        <v>103</v>
      </c>
      <c r="H24" s="124"/>
      <c r="I24" s="124"/>
      <c r="J24" s="124"/>
      <c r="K24" s="124"/>
      <c r="L24" s="124">
        <f>106.85/16.15</f>
        <v>6.6160990712074303</v>
      </c>
      <c r="M24" s="125">
        <v>846</v>
      </c>
      <c r="N24" s="137">
        <v>45863</v>
      </c>
      <c r="O24" s="127"/>
      <c r="P24" s="127">
        <v>2.4900000000000002</v>
      </c>
      <c r="Q24" s="127">
        <v>6.22</v>
      </c>
      <c r="R24" s="127">
        <v>2.4</v>
      </c>
      <c r="S24" s="127">
        <v>14.95</v>
      </c>
      <c r="T24" s="127">
        <v>-0.75</v>
      </c>
      <c r="U24" s="127">
        <v>2.1800000000000002</v>
      </c>
      <c r="V24" s="127">
        <v>-6.96</v>
      </c>
      <c r="W24" s="127">
        <v>-0.73</v>
      </c>
      <c r="X24" s="127">
        <v>-1.92</v>
      </c>
      <c r="Y24" s="127">
        <v>6.73</v>
      </c>
      <c r="Z24" s="138" t="s">
        <v>186</v>
      </c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</row>
    <row r="25" spans="1:47" x14ac:dyDescent="0.2">
      <c r="A25" s="39" t="str">
        <f t="shared" si="5"/>
        <v>[e0ab531e]|ETH|McGinley|2H</v>
      </c>
      <c r="B25" s="78" t="s">
        <v>28</v>
      </c>
      <c r="C25" s="1">
        <v>0.2</v>
      </c>
      <c r="D25" s="78" t="s">
        <v>148</v>
      </c>
      <c r="E25" s="78" t="s">
        <v>46</v>
      </c>
      <c r="F25" s="78" t="s">
        <v>47</v>
      </c>
      <c r="G25" s="1" t="s">
        <v>149</v>
      </c>
      <c r="H25" s="1">
        <v>6000</v>
      </c>
      <c r="I25" s="40">
        <f t="shared" ref="I25:I30" si="6">H25*0.21</f>
        <v>1260</v>
      </c>
      <c r="J25" s="2">
        <v>2400</v>
      </c>
      <c r="K25" s="1">
        <v>160</v>
      </c>
      <c r="L25" s="18">
        <f>30.53/6.28</f>
        <v>4.8614649681528661</v>
      </c>
      <c r="M25" s="4">
        <v>103</v>
      </c>
      <c r="N25" s="110">
        <v>45682</v>
      </c>
      <c r="O25" s="77"/>
      <c r="P25" s="77">
        <v>-2.0499999999999998</v>
      </c>
      <c r="Q25" s="77">
        <v>0.35</v>
      </c>
      <c r="R25" s="77">
        <v>0.34</v>
      </c>
      <c r="S25" s="77">
        <v>3.99</v>
      </c>
      <c r="T25" s="77">
        <v>0.22</v>
      </c>
      <c r="U25" s="77">
        <v>4.67</v>
      </c>
      <c r="V25" s="77">
        <v>1.73</v>
      </c>
      <c r="W25" s="77">
        <v>1.04</v>
      </c>
      <c r="X25" s="77">
        <v>2.34</v>
      </c>
      <c r="Y25" s="77">
        <v>-0.54</v>
      </c>
      <c r="Z25" s="139" t="s">
        <v>187</v>
      </c>
    </row>
    <row r="26" spans="1:47" x14ac:dyDescent="0.2">
      <c r="A26" s="140" t="str">
        <f t="shared" si="5"/>
        <v>[65caeaa0]|ROSE|WolfnBear|1H</v>
      </c>
      <c r="B26" s="141" t="s">
        <v>28</v>
      </c>
      <c r="C26" s="142">
        <v>0.375</v>
      </c>
      <c r="D26" s="141" t="s">
        <v>49</v>
      </c>
      <c r="E26" s="141" t="s">
        <v>50</v>
      </c>
      <c r="F26" s="141" t="s">
        <v>51</v>
      </c>
      <c r="G26" s="141" t="s">
        <v>52</v>
      </c>
      <c r="H26" s="142">
        <v>15000</v>
      </c>
      <c r="I26" s="143">
        <f t="shared" si="6"/>
        <v>3150</v>
      </c>
      <c r="J26" s="144">
        <v>4300</v>
      </c>
      <c r="K26" s="142">
        <v>160</v>
      </c>
      <c r="L26" s="145">
        <f>30.48/3.34</f>
        <v>9.1257485029940124</v>
      </c>
      <c r="M26" s="146">
        <v>172</v>
      </c>
      <c r="N26" s="147">
        <v>45682</v>
      </c>
      <c r="O26" s="148"/>
      <c r="P26" s="148">
        <v>1.04</v>
      </c>
      <c r="Q26" s="148">
        <v>2.39</v>
      </c>
      <c r="R26" s="148">
        <v>0.38</v>
      </c>
      <c r="S26" s="148">
        <v>1.76</v>
      </c>
      <c r="T26" s="148">
        <v>0.72</v>
      </c>
      <c r="U26" s="148">
        <v>-0.84</v>
      </c>
      <c r="V26" s="148">
        <v>-0.24</v>
      </c>
      <c r="W26" s="148">
        <v>-1.19</v>
      </c>
      <c r="X26" s="148">
        <v>0.18</v>
      </c>
      <c r="Y26" s="148">
        <v>2.34</v>
      </c>
      <c r="Z26" s="149" t="s">
        <v>188</v>
      </c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</row>
    <row r="27" spans="1:47" x14ac:dyDescent="0.2">
      <c r="A27" s="39" t="str">
        <f t="shared" si="5"/>
        <v>17.12.2024|ARB|Heiken-Ashi|45m</v>
      </c>
      <c r="B27" s="129" t="s">
        <v>28</v>
      </c>
      <c r="C27" s="120">
        <v>0.25</v>
      </c>
      <c r="D27" s="129" t="s">
        <v>81</v>
      </c>
      <c r="E27" s="129" t="s">
        <v>30</v>
      </c>
      <c r="F27" s="129" t="s">
        <v>37</v>
      </c>
      <c r="G27" s="129" t="s">
        <v>32</v>
      </c>
      <c r="H27" s="1">
        <v>10000</v>
      </c>
      <c r="I27" s="40">
        <f t="shared" si="6"/>
        <v>2100</v>
      </c>
      <c r="J27" s="2">
        <v>2500</v>
      </c>
      <c r="K27" s="1">
        <v>90</v>
      </c>
      <c r="L27" s="150">
        <f>42.36/3.5</f>
        <v>12.102857142857143</v>
      </c>
      <c r="M27" s="151">
        <v>294</v>
      </c>
      <c r="N27" s="152">
        <v>45772</v>
      </c>
      <c r="O27" s="127"/>
      <c r="P27" s="127">
        <v>-0.88</v>
      </c>
      <c r="Q27" s="127">
        <v>0.46</v>
      </c>
      <c r="R27" s="127">
        <v>-0.54</v>
      </c>
      <c r="S27" s="127">
        <v>4.43</v>
      </c>
      <c r="T27" s="127">
        <v>-0.26</v>
      </c>
      <c r="U27" s="127">
        <v>0.04</v>
      </c>
      <c r="V27" s="127">
        <v>1.27</v>
      </c>
      <c r="W27" s="127">
        <v>3.69</v>
      </c>
      <c r="X27" s="127">
        <v>-0.27</v>
      </c>
      <c r="Y27" s="127">
        <v>3.17</v>
      </c>
      <c r="Z27" s="138" t="s">
        <v>189</v>
      </c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</row>
    <row r="28" spans="1:47" ht="14.25" customHeight="1" x14ac:dyDescent="0.2">
      <c r="A28" s="39" t="str">
        <f t="shared" si="5"/>
        <v>[0c4624b7]|SOL|volVangard|30m</v>
      </c>
      <c r="B28" s="17" t="s">
        <v>28</v>
      </c>
      <c r="C28" s="17">
        <v>0.2</v>
      </c>
      <c r="D28" s="17" t="s">
        <v>42</v>
      </c>
      <c r="E28" s="17" t="s">
        <v>43</v>
      </c>
      <c r="F28" s="17" t="s">
        <v>44</v>
      </c>
      <c r="G28" s="17" t="s">
        <v>38</v>
      </c>
      <c r="H28" s="17">
        <v>8000</v>
      </c>
      <c r="I28" s="40">
        <f t="shared" si="6"/>
        <v>1680</v>
      </c>
      <c r="J28" s="24">
        <v>2000</v>
      </c>
      <c r="K28" s="17">
        <v>110</v>
      </c>
      <c r="L28" s="43">
        <f>55.96/5.87</f>
        <v>9.533219761499149</v>
      </c>
      <c r="M28" s="44">
        <v>118</v>
      </c>
      <c r="N28" s="45">
        <v>45772</v>
      </c>
      <c r="O28" s="21"/>
      <c r="P28" s="21">
        <v>-0.99</v>
      </c>
      <c r="Q28" s="21">
        <v>4.09</v>
      </c>
      <c r="R28" s="21">
        <v>0.37</v>
      </c>
      <c r="S28" s="21">
        <v>-3.58</v>
      </c>
      <c r="T28" s="21">
        <v>6.51</v>
      </c>
      <c r="U28" s="21">
        <v>-0.43</v>
      </c>
      <c r="V28" s="21">
        <v>5.78</v>
      </c>
      <c r="W28" s="21">
        <v>-0.64</v>
      </c>
      <c r="X28" s="21">
        <v>1.32</v>
      </c>
      <c r="Y28" s="21">
        <v>0.33</v>
      </c>
      <c r="Z28" s="132" t="s">
        <v>190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42"/>
      <c r="AO28" s="42"/>
      <c r="AP28" s="42"/>
      <c r="AQ28" s="42"/>
      <c r="AR28" s="42"/>
      <c r="AS28" s="42"/>
      <c r="AT28" s="42"/>
      <c r="AU28" s="42"/>
    </row>
    <row r="29" spans="1:47" x14ac:dyDescent="0.2">
      <c r="A29" s="39" t="str">
        <f t="shared" si="5"/>
        <v>[1e052093]|SOL|FlashProfit|59m</v>
      </c>
      <c r="B29" s="42" t="s">
        <v>28</v>
      </c>
      <c r="C29" s="17">
        <v>0.25</v>
      </c>
      <c r="D29" s="42" t="s">
        <v>83</v>
      </c>
      <c r="E29" s="42" t="s">
        <v>43</v>
      </c>
      <c r="F29" s="42" t="s">
        <v>84</v>
      </c>
      <c r="G29" s="42" t="s">
        <v>85</v>
      </c>
      <c r="H29" s="17">
        <v>10000</v>
      </c>
      <c r="I29" s="40">
        <f t="shared" si="6"/>
        <v>2100</v>
      </c>
      <c r="J29" s="24">
        <v>6000</v>
      </c>
      <c r="K29" s="17">
        <v>120</v>
      </c>
      <c r="L29" s="103">
        <f>36.53/8.7</f>
        <v>4.1988505747126439</v>
      </c>
      <c r="M29" s="44">
        <v>567</v>
      </c>
      <c r="N29" s="45">
        <v>45925</v>
      </c>
      <c r="O29" s="21"/>
      <c r="P29" s="21">
        <v>0.82</v>
      </c>
      <c r="Q29" s="21">
        <v>6.44</v>
      </c>
      <c r="R29" s="21">
        <v>4.43</v>
      </c>
      <c r="S29" s="21">
        <v>-0.32</v>
      </c>
      <c r="T29" s="21">
        <v>0.78</v>
      </c>
      <c r="U29" s="21">
        <v>2.0299999999999998</v>
      </c>
      <c r="V29" s="21">
        <v>0.72</v>
      </c>
      <c r="W29" s="21">
        <v>2.39</v>
      </c>
      <c r="X29" s="21">
        <v>1.96</v>
      </c>
      <c r="Y29" s="21">
        <v>0.45</v>
      </c>
      <c r="Z29" s="153" t="s">
        <v>191</v>
      </c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</row>
    <row r="30" spans="1:47" x14ac:dyDescent="0.2">
      <c r="A30" s="140" t="str">
        <f t="shared" si="5"/>
        <v>[04ea3071]|BTC|AI vs Ninja Turtle|76min</v>
      </c>
      <c r="B30" s="141" t="s">
        <v>28</v>
      </c>
      <c r="C30" s="142">
        <f>H30/50000</f>
        <v>0.24</v>
      </c>
      <c r="D30" s="141" t="s">
        <v>72</v>
      </c>
      <c r="E30" s="141" t="s">
        <v>73</v>
      </c>
      <c r="F30" s="141" t="s">
        <v>74</v>
      </c>
      <c r="G30" s="141" t="s">
        <v>75</v>
      </c>
      <c r="H30" s="142">
        <v>12000</v>
      </c>
      <c r="I30" s="143">
        <f t="shared" si="6"/>
        <v>2520</v>
      </c>
      <c r="J30" s="144">
        <v>3400</v>
      </c>
      <c r="K30" s="142">
        <v>100</v>
      </c>
      <c r="L30" s="145">
        <f>37.21/4.33</f>
        <v>8.5935334872979219</v>
      </c>
      <c r="M30" s="146">
        <v>78</v>
      </c>
      <c r="N30" s="147">
        <v>45682</v>
      </c>
      <c r="O30" s="148"/>
      <c r="P30" s="148">
        <v>1.67</v>
      </c>
      <c r="Q30" s="148">
        <v>2.78</v>
      </c>
      <c r="R30" s="148">
        <v>-0.22</v>
      </c>
      <c r="S30" s="148">
        <v>2.83</v>
      </c>
      <c r="T30" s="148">
        <v>-1.36</v>
      </c>
      <c r="U30" s="148">
        <v>3.58</v>
      </c>
      <c r="V30" s="148">
        <v>-0.43</v>
      </c>
      <c r="W30" s="148">
        <v>1.1299999999999999</v>
      </c>
      <c r="X30" s="148">
        <v>1.58</v>
      </c>
      <c r="Y30" s="148">
        <v>3.31</v>
      </c>
      <c r="Z30" s="149" t="s">
        <v>192</v>
      </c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</row>
    <row r="31" spans="1:47" x14ac:dyDescent="0.2">
      <c r="A31" s="39" t="str">
        <f t="shared" si="5"/>
        <v>[b39d1d6e]|PIXEL|WolfnBear|1H</v>
      </c>
      <c r="B31" s="42" t="s">
        <v>28</v>
      </c>
      <c r="C31" s="17"/>
      <c r="D31" s="42" t="s">
        <v>93</v>
      </c>
      <c r="E31" s="42" t="s">
        <v>94</v>
      </c>
      <c r="F31" s="42" t="s">
        <v>51</v>
      </c>
      <c r="G31" s="42" t="s">
        <v>52</v>
      </c>
      <c r="H31" s="19"/>
      <c r="I31" s="19"/>
      <c r="J31" s="19"/>
      <c r="K31" s="19"/>
      <c r="L31" s="19">
        <f>31.6/4.69</f>
        <v>6.7377398720682304</v>
      </c>
      <c r="M31" s="46">
        <v>124</v>
      </c>
      <c r="N31" s="45">
        <v>45833</v>
      </c>
      <c r="O31" s="21"/>
      <c r="P31" s="21">
        <v>1.78</v>
      </c>
      <c r="Q31" s="21">
        <v>-0.57999999999999996</v>
      </c>
      <c r="R31" s="21">
        <v>2.67</v>
      </c>
      <c r="S31" s="21">
        <v>4.07</v>
      </c>
      <c r="T31" s="21">
        <v>2.2999999999999998</v>
      </c>
      <c r="U31" s="21">
        <v>1.05</v>
      </c>
      <c r="V31" s="21">
        <v>-1.1299999999999999</v>
      </c>
      <c r="W31" s="21">
        <v>0.64</v>
      </c>
      <c r="X31" s="21">
        <v>-0.53</v>
      </c>
      <c r="Y31" s="21">
        <v>-0.16</v>
      </c>
      <c r="Z31" s="153" t="s">
        <v>193</v>
      </c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</row>
    <row r="32" spans="1:47" ht="15.75" customHeight="1" x14ac:dyDescent="0.2">
      <c r="A32" s="39" t="str">
        <f t="shared" si="5"/>
        <v>[4a2ddf14]|AAVE|McGlinley|45m</v>
      </c>
      <c r="B32" s="42" t="s">
        <v>28</v>
      </c>
      <c r="C32" s="17"/>
      <c r="D32" s="42" t="s">
        <v>89</v>
      </c>
      <c r="E32" s="42" t="s">
        <v>90</v>
      </c>
      <c r="F32" s="42" t="s">
        <v>91</v>
      </c>
      <c r="G32" s="42" t="s">
        <v>32</v>
      </c>
      <c r="H32" s="19"/>
      <c r="I32" s="19"/>
      <c r="J32" s="19"/>
      <c r="K32" s="19"/>
      <c r="L32" s="19">
        <f>12.6/4.72</f>
        <v>2.6694915254237288</v>
      </c>
      <c r="M32" s="46">
        <v>317</v>
      </c>
      <c r="N32" s="45">
        <v>45682</v>
      </c>
      <c r="O32" s="21"/>
      <c r="P32" s="21">
        <v>2.66</v>
      </c>
      <c r="Q32" s="21">
        <v>-0.85</v>
      </c>
      <c r="R32" s="21">
        <v>3.55</v>
      </c>
      <c r="S32" s="21">
        <v>1.77</v>
      </c>
      <c r="T32" s="21">
        <v>1.63</v>
      </c>
      <c r="U32" s="21">
        <v>-1.84</v>
      </c>
      <c r="V32" s="21">
        <v>0.2</v>
      </c>
      <c r="W32" s="21">
        <v>-1.49</v>
      </c>
      <c r="X32" s="21">
        <v>0</v>
      </c>
      <c r="Y32" s="21">
        <v>0.28000000000000003</v>
      </c>
      <c r="Z32" s="153" t="s">
        <v>194</v>
      </c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</row>
    <row r="33" spans="1:47" x14ac:dyDescent="0.2">
      <c r="A33" s="39" t="str">
        <f t="shared" si="5"/>
        <v>[28d1ec8a]|ETH|stiffZone|15m</v>
      </c>
      <c r="B33" s="42" t="s">
        <v>28</v>
      </c>
      <c r="C33" s="17"/>
      <c r="D33" s="42" t="s">
        <v>130</v>
      </c>
      <c r="E33" s="42" t="s">
        <v>46</v>
      </c>
      <c r="F33" s="42" t="s">
        <v>131</v>
      </c>
      <c r="G33" s="42" t="s">
        <v>132</v>
      </c>
      <c r="H33" s="42"/>
      <c r="I33" s="42"/>
      <c r="J33" s="42"/>
      <c r="K33" s="42"/>
      <c r="L33" s="43">
        <f>120.74/4.46</f>
        <v>27.071748878923767</v>
      </c>
      <c r="M33" s="44">
        <v>198</v>
      </c>
      <c r="N33" s="107">
        <v>45802</v>
      </c>
      <c r="O33" s="108"/>
      <c r="P33" s="108">
        <v>-0.95</v>
      </c>
      <c r="Q33" s="108">
        <v>0</v>
      </c>
      <c r="R33" s="108">
        <v>1.42</v>
      </c>
      <c r="S33" s="108">
        <v>3.95</v>
      </c>
      <c r="T33" s="108">
        <v>0</v>
      </c>
      <c r="U33" s="108">
        <v>4.8600000000000003</v>
      </c>
      <c r="V33" s="108">
        <v>3.85</v>
      </c>
      <c r="W33" s="108">
        <v>0</v>
      </c>
      <c r="X33" s="108">
        <v>0</v>
      </c>
      <c r="Y33" s="108">
        <v>0</v>
      </c>
      <c r="Z33" s="153" t="s">
        <v>195</v>
      </c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</row>
    <row r="34" spans="1:47" x14ac:dyDescent="0.2">
      <c r="A34" s="39" t="str">
        <f t="shared" si="5"/>
        <v>01.01.2025|BTC|AI Ichimaster|3H</v>
      </c>
      <c r="B34" s="42" t="s">
        <v>28</v>
      </c>
      <c r="C34" s="17"/>
      <c r="D34" s="42" t="s">
        <v>135</v>
      </c>
      <c r="E34" s="42" t="s">
        <v>73</v>
      </c>
      <c r="F34" s="42" t="s">
        <v>136</v>
      </c>
      <c r="G34" s="42" t="s">
        <v>137</v>
      </c>
      <c r="H34" s="42"/>
      <c r="I34" s="42"/>
      <c r="J34" s="42"/>
      <c r="K34" s="42"/>
      <c r="L34" s="43">
        <f>30.68/3.31</f>
        <v>9.2688821752265866</v>
      </c>
      <c r="M34" s="44">
        <v>61</v>
      </c>
      <c r="N34" s="107">
        <v>45682</v>
      </c>
      <c r="O34" s="108"/>
      <c r="P34" s="108">
        <v>0.57999999999999996</v>
      </c>
      <c r="Q34" s="108">
        <v>-0.03</v>
      </c>
      <c r="R34" s="108">
        <v>-0.85</v>
      </c>
      <c r="S34" s="108">
        <v>1.01</v>
      </c>
      <c r="T34" s="108">
        <v>-0.85</v>
      </c>
      <c r="U34" s="108">
        <v>0.78</v>
      </c>
      <c r="V34" s="108">
        <v>1.42</v>
      </c>
      <c r="W34" s="108">
        <v>0</v>
      </c>
      <c r="X34" s="108">
        <v>-0.03</v>
      </c>
      <c r="Y34" s="108">
        <v>0</v>
      </c>
      <c r="Z34" s="154" t="s">
        <v>196</v>
      </c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</row>
    <row r="35" spans="1:47" x14ac:dyDescent="0.2">
      <c r="A35" s="119" t="str">
        <f t="shared" si="5"/>
        <v>[f2b236fa]|OP|glitchTrend|1H</v>
      </c>
      <c r="B35" s="129" t="s">
        <v>62</v>
      </c>
      <c r="C35" s="120"/>
      <c r="D35" s="127" t="s">
        <v>59</v>
      </c>
      <c r="E35" s="129" t="s">
        <v>60</v>
      </c>
      <c r="F35" s="129" t="s">
        <v>61</v>
      </c>
      <c r="G35" s="129" t="s">
        <v>52</v>
      </c>
      <c r="H35" s="155"/>
      <c r="I35" s="155"/>
      <c r="J35" s="155"/>
      <c r="K35" s="155"/>
      <c r="L35" s="155">
        <f>57.27/6.84</f>
        <v>8.3728070175438596</v>
      </c>
      <c r="M35" s="125">
        <v>409</v>
      </c>
      <c r="N35" s="137">
        <v>45863</v>
      </c>
      <c r="O35" s="127"/>
      <c r="P35" s="127">
        <v>2.64</v>
      </c>
      <c r="Q35" s="127">
        <v>0.13</v>
      </c>
      <c r="R35" s="127">
        <v>1.69</v>
      </c>
      <c r="S35" s="127">
        <v>6.07</v>
      </c>
      <c r="T35" s="127">
        <v>-3.19</v>
      </c>
      <c r="U35" s="127">
        <v>5.27</v>
      </c>
      <c r="V35" s="127">
        <v>3.43</v>
      </c>
      <c r="W35" s="127">
        <v>2.02</v>
      </c>
      <c r="X35" s="127">
        <v>0.08</v>
      </c>
      <c r="Y35" s="127">
        <v>7.85</v>
      </c>
      <c r="Z35" s="138" t="s">
        <v>197</v>
      </c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</row>
    <row r="36" spans="1:47" x14ac:dyDescent="0.2">
      <c r="A36" s="39" t="str">
        <f t="shared" si="5"/>
        <v>[1adc9501]|ETH|DeadZone|1H</v>
      </c>
      <c r="B36" s="129" t="s">
        <v>62</v>
      </c>
      <c r="C36" s="120"/>
      <c r="D36" s="129" t="s">
        <v>69</v>
      </c>
      <c r="E36" s="129" t="s">
        <v>46</v>
      </c>
      <c r="F36" s="129" t="s">
        <v>70</v>
      </c>
      <c r="G36" s="129" t="s">
        <v>52</v>
      </c>
      <c r="H36" s="150"/>
      <c r="I36" s="150"/>
      <c r="J36" s="150"/>
      <c r="K36" s="150"/>
      <c r="L36" s="150">
        <f>33.14/3.94</f>
        <v>8.4111675126903549</v>
      </c>
      <c r="M36" s="151">
        <v>134</v>
      </c>
      <c r="N36" s="152">
        <v>45802</v>
      </c>
      <c r="O36" s="127"/>
      <c r="P36" s="127">
        <v>0.51</v>
      </c>
      <c r="Q36" s="127">
        <v>0.63</v>
      </c>
      <c r="R36" s="127">
        <v>4.53</v>
      </c>
      <c r="S36" s="127">
        <v>3.6</v>
      </c>
      <c r="T36" s="127">
        <v>1.0900000000000001</v>
      </c>
      <c r="U36" s="127">
        <v>2.31</v>
      </c>
      <c r="V36" s="127">
        <v>0.49</v>
      </c>
      <c r="W36" s="127">
        <v>-1.63</v>
      </c>
      <c r="X36" s="127">
        <v>0.27</v>
      </c>
      <c r="Y36" s="127">
        <v>2.35</v>
      </c>
      <c r="Z36" s="138" t="s">
        <v>198</v>
      </c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</row>
    <row r="37" spans="1:47" x14ac:dyDescent="0.2">
      <c r="A37" s="39" t="str">
        <f t="shared" si="5"/>
        <v>[8a00ecfa]|ADA|JpTrendForce|1H</v>
      </c>
      <c r="B37" s="78" t="s">
        <v>62</v>
      </c>
      <c r="C37" s="1"/>
      <c r="D37" s="3" t="s">
        <v>97</v>
      </c>
      <c r="E37" s="78" t="s">
        <v>98</v>
      </c>
      <c r="F37" s="78" t="s">
        <v>99</v>
      </c>
      <c r="G37" s="78" t="s">
        <v>52</v>
      </c>
      <c r="H37" s="18"/>
      <c r="I37" s="18"/>
      <c r="J37" s="18"/>
      <c r="K37" s="18"/>
      <c r="L37" s="18">
        <f>38.28/5.19</f>
        <v>7.3757225433526008</v>
      </c>
      <c r="M37" s="4">
        <v>160</v>
      </c>
      <c r="N37" s="79">
        <v>45682</v>
      </c>
      <c r="O37" s="3"/>
      <c r="P37" s="3">
        <v>3.77</v>
      </c>
      <c r="Q37" s="3">
        <v>-1.61</v>
      </c>
      <c r="R37" s="3">
        <v>1.35</v>
      </c>
      <c r="S37" s="3">
        <v>2.58</v>
      </c>
      <c r="T37" s="3">
        <v>3.16</v>
      </c>
      <c r="U37" s="3">
        <v>1.52</v>
      </c>
      <c r="V37" s="3">
        <v>-1.1000000000000001</v>
      </c>
      <c r="W37" s="3">
        <v>-1.24</v>
      </c>
      <c r="X37" s="3">
        <v>0</v>
      </c>
      <c r="Y37" s="3">
        <v>0</v>
      </c>
      <c r="Z37" s="156" t="s">
        <v>199</v>
      </c>
      <c r="AA37" s="3"/>
      <c r="AB37" s="3"/>
      <c r="AC37" s="3"/>
      <c r="AD37" s="3"/>
      <c r="AE37" s="3"/>
    </row>
    <row r="38" spans="1:47" x14ac:dyDescent="0.2">
      <c r="A38" s="119" t="str">
        <f t="shared" si="5"/>
        <v>[37b8aa1a]|ADA|Trendhoo|4H</v>
      </c>
      <c r="B38" s="129" t="s">
        <v>62</v>
      </c>
      <c r="C38" s="120"/>
      <c r="D38" s="127" t="s">
        <v>200</v>
      </c>
      <c r="E38" s="129" t="s">
        <v>98</v>
      </c>
      <c r="F38" s="129" t="s">
        <v>67</v>
      </c>
      <c r="G38" s="129" t="s">
        <v>201</v>
      </c>
      <c r="H38" s="124"/>
      <c r="I38" s="124"/>
      <c r="J38" s="124"/>
      <c r="K38" s="124"/>
      <c r="L38" s="124">
        <f>10.06/10.29</f>
        <v>0.97764820213799819</v>
      </c>
      <c r="M38" s="125">
        <v>97</v>
      </c>
      <c r="N38" s="137">
        <v>45682</v>
      </c>
      <c r="O38" s="127"/>
      <c r="P38" s="127">
        <v>2.1800000000000002</v>
      </c>
      <c r="Q38" s="127">
        <v>0.3</v>
      </c>
      <c r="R38" s="127">
        <v>0.16</v>
      </c>
      <c r="S38" s="127">
        <v>0.03</v>
      </c>
      <c r="T38" s="127">
        <v>-0.04</v>
      </c>
      <c r="U38" s="127">
        <v>2.88</v>
      </c>
      <c r="V38" s="127">
        <v>0.62</v>
      </c>
      <c r="W38" s="127">
        <v>-2.2999999999999998</v>
      </c>
      <c r="X38" s="127">
        <v>4.8899999999999997</v>
      </c>
      <c r="Y38" s="127">
        <v>-0.02</v>
      </c>
      <c r="Z38" s="138" t="s">
        <v>202</v>
      </c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</row>
    <row r="39" spans="1:47" x14ac:dyDescent="0.2">
      <c r="A39" s="39"/>
      <c r="C39" s="1"/>
    </row>
    <row r="40" spans="1:47" x14ac:dyDescent="0.2">
      <c r="A40" s="39" t="str">
        <f t="shared" ref="A40:A64" si="7">D40&amp;"|"&amp;E40&amp;"|"&amp;F40&amp;"|"&amp;G40</f>
        <v>|||</v>
      </c>
      <c r="C40" s="1"/>
    </row>
    <row r="41" spans="1:47" ht="16.5" customHeight="1" x14ac:dyDescent="0.2">
      <c r="A41" s="157" t="str">
        <f t="shared" si="7"/>
        <v>DT ID|COIN PAIR|STRATEGY|TIMEFRAME</v>
      </c>
      <c r="B41" s="157" t="s">
        <v>203</v>
      </c>
      <c r="C41" s="157"/>
      <c r="D41" s="157" t="s">
        <v>204</v>
      </c>
      <c r="E41" s="157" t="s">
        <v>6</v>
      </c>
      <c r="F41" s="157" t="s">
        <v>7</v>
      </c>
      <c r="G41" s="157" t="s">
        <v>8</v>
      </c>
      <c r="H41" s="157"/>
      <c r="I41" s="157"/>
      <c r="J41" s="157"/>
      <c r="K41" s="157"/>
      <c r="L41" s="157" t="s">
        <v>13</v>
      </c>
      <c r="M41" s="157" t="s">
        <v>14</v>
      </c>
      <c r="N41" s="157" t="s">
        <v>205</v>
      </c>
      <c r="O41" s="157" t="s">
        <v>206</v>
      </c>
      <c r="P41" s="157" t="s">
        <v>162</v>
      </c>
      <c r="Q41" s="157" t="s">
        <v>16</v>
      </c>
      <c r="R41" s="157" t="s">
        <v>17</v>
      </c>
      <c r="S41" s="157" t="s">
        <v>18</v>
      </c>
      <c r="T41" s="157" t="s">
        <v>19</v>
      </c>
      <c r="U41" s="157" t="s">
        <v>20</v>
      </c>
      <c r="V41" s="157" t="s">
        <v>21</v>
      </c>
      <c r="W41" s="157" t="s">
        <v>22</v>
      </c>
      <c r="X41" s="157" t="s">
        <v>23</v>
      </c>
      <c r="Y41" s="157" t="s">
        <v>24</v>
      </c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8"/>
      <c r="AR41" s="158"/>
      <c r="AS41" s="159"/>
      <c r="AT41" s="159"/>
      <c r="AU41" s="159"/>
    </row>
    <row r="42" spans="1:47" ht="14.25" customHeight="1" x14ac:dyDescent="0.2">
      <c r="A42" s="39" t="str">
        <f t="shared" si="7"/>
        <v>[8bdb5058]|BTC|BotifyX|1H</v>
      </c>
      <c r="B42" s="1" t="s">
        <v>62</v>
      </c>
      <c r="C42" s="1"/>
      <c r="D42" s="1" t="s">
        <v>207</v>
      </c>
      <c r="E42" s="1" t="s">
        <v>73</v>
      </c>
      <c r="F42" s="1" t="s">
        <v>208</v>
      </c>
      <c r="G42" s="78" t="s">
        <v>52</v>
      </c>
      <c r="H42" s="18"/>
      <c r="I42" s="18"/>
      <c r="J42" s="18"/>
      <c r="K42" s="18"/>
      <c r="L42" s="18">
        <f>18.01/4.38</f>
        <v>4.1118721461187215</v>
      </c>
      <c r="M42" s="4">
        <v>268</v>
      </c>
      <c r="N42" s="104">
        <v>45682</v>
      </c>
      <c r="O42" s="3"/>
      <c r="P42" s="3"/>
      <c r="Q42" s="3"/>
      <c r="R42" s="3">
        <v>-4.87</v>
      </c>
      <c r="S42" s="3">
        <v>0.75</v>
      </c>
      <c r="T42" s="3">
        <v>-4.7300000000000004</v>
      </c>
      <c r="U42" s="3">
        <v>4.05</v>
      </c>
      <c r="V42" s="3">
        <v>8.1199999999999992</v>
      </c>
      <c r="W42" s="3">
        <v>2.34</v>
      </c>
      <c r="X42" s="3">
        <v>1.1000000000000001</v>
      </c>
      <c r="Y42" s="3">
        <v>13</v>
      </c>
      <c r="Z42" s="16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47" ht="14.25" customHeight="1" x14ac:dyDescent="0.2">
      <c r="A43" s="51" t="str">
        <f t="shared" si="7"/>
        <v>[a8f7e35a]|SOL|Trendhoo|30m</v>
      </c>
      <c r="B43" s="48" t="s">
        <v>77</v>
      </c>
      <c r="C43" s="48"/>
      <c r="D43" s="48" t="s">
        <v>209</v>
      </c>
      <c r="E43" s="48" t="s">
        <v>43</v>
      </c>
      <c r="F43" s="48" t="s">
        <v>67</v>
      </c>
      <c r="G43" s="48" t="s">
        <v>38</v>
      </c>
      <c r="H43" s="52"/>
      <c r="I43" s="52"/>
      <c r="J43" s="52"/>
      <c r="K43" s="52"/>
      <c r="L43" s="52">
        <f>67.95/8.21</f>
        <v>8.2764920828258219</v>
      </c>
      <c r="M43" s="161">
        <v>284</v>
      </c>
      <c r="N43" s="54">
        <f>N46</f>
        <v>45682</v>
      </c>
      <c r="O43" s="55"/>
      <c r="P43" s="55">
        <v>-1.49</v>
      </c>
      <c r="Q43" s="55">
        <v>-1.3</v>
      </c>
      <c r="R43" s="55">
        <v>-0.16</v>
      </c>
      <c r="S43" s="55">
        <v>-4</v>
      </c>
      <c r="T43" s="55">
        <v>-0.34</v>
      </c>
      <c r="U43" s="55">
        <v>3.83</v>
      </c>
      <c r="V43" s="55">
        <v>-1.0900000000000001</v>
      </c>
      <c r="W43" s="55">
        <v>2.02</v>
      </c>
      <c r="X43" s="55">
        <v>8.7899999999999991</v>
      </c>
      <c r="Y43" s="55">
        <v>9.61</v>
      </c>
      <c r="Z43" s="162" t="s">
        <v>210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163"/>
      <c r="AO43" s="163"/>
      <c r="AP43" s="163"/>
      <c r="AQ43" s="163"/>
      <c r="AR43" s="163"/>
      <c r="AS43" s="163"/>
      <c r="AT43" s="163"/>
      <c r="AU43" s="163"/>
    </row>
    <row r="44" spans="1:47" ht="14.25" customHeight="1" x14ac:dyDescent="0.2">
      <c r="A44" s="39" t="str">
        <f t="shared" si="7"/>
        <v>[946cefcd]|MNT|stiffZone|1H</v>
      </c>
      <c r="B44" s="1" t="s">
        <v>62</v>
      </c>
      <c r="C44" s="1"/>
      <c r="D44" s="1" t="s">
        <v>211</v>
      </c>
      <c r="E44" s="1" t="s">
        <v>102</v>
      </c>
      <c r="F44" s="1" t="s">
        <v>131</v>
      </c>
      <c r="G44" s="1" t="s">
        <v>52</v>
      </c>
      <c r="H44" s="18"/>
      <c r="I44" s="18"/>
      <c r="J44" s="18"/>
      <c r="K44" s="18"/>
      <c r="L44" s="18">
        <f>34.31/4.66</f>
        <v>7.3626609442060085</v>
      </c>
      <c r="M44" s="4">
        <v>60</v>
      </c>
      <c r="N44" s="76">
        <v>45772</v>
      </c>
      <c r="O44" s="3"/>
      <c r="P44" s="3">
        <v>0</v>
      </c>
      <c r="Q44" s="3">
        <v>0</v>
      </c>
      <c r="R44" s="3">
        <v>0</v>
      </c>
      <c r="S44" s="3">
        <v>-2</v>
      </c>
      <c r="T44" s="3">
        <v>6.37</v>
      </c>
      <c r="U44" s="3">
        <v>2.9</v>
      </c>
      <c r="V44" s="3">
        <v>0.09</v>
      </c>
      <c r="W44" s="3">
        <v>-0.18</v>
      </c>
      <c r="X44" s="3">
        <v>0.93</v>
      </c>
      <c r="Y44" s="3">
        <v>1.02</v>
      </c>
      <c r="Z44" s="16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47" ht="15" customHeight="1" x14ac:dyDescent="0.2">
      <c r="A45" s="51" t="str">
        <f t="shared" si="7"/>
        <v>|BTC|StiffTrend|30m</v>
      </c>
      <c r="B45" s="82" t="s">
        <v>77</v>
      </c>
      <c r="C45" s="82"/>
      <c r="D45" s="51"/>
      <c r="E45" s="82" t="s">
        <v>73</v>
      </c>
      <c r="F45" s="82" t="s">
        <v>212</v>
      </c>
      <c r="G45" s="82" t="s">
        <v>38</v>
      </c>
      <c r="H45" s="164"/>
      <c r="I45" s="164"/>
      <c r="J45" s="164"/>
      <c r="K45" s="164"/>
      <c r="L45" s="164">
        <v>12.58</v>
      </c>
      <c r="M45" s="83">
        <v>107</v>
      </c>
      <c r="N45" s="165">
        <v>45682</v>
      </c>
      <c r="O45" s="166"/>
      <c r="P45" s="166">
        <v>-0.26</v>
      </c>
      <c r="Q45" s="166">
        <v>0</v>
      </c>
      <c r="R45" s="166">
        <v>0.2</v>
      </c>
      <c r="S45" s="166">
        <v>-0.28000000000000003</v>
      </c>
      <c r="T45" s="166">
        <v>-0.21</v>
      </c>
      <c r="U45" s="166">
        <v>-0.05</v>
      </c>
      <c r="V45" s="166">
        <v>0.44</v>
      </c>
      <c r="W45" s="166">
        <v>0.24</v>
      </c>
      <c r="X45" s="166">
        <v>0.26</v>
      </c>
      <c r="Y45" s="166">
        <v>0.63</v>
      </c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163"/>
      <c r="AO45" s="163"/>
      <c r="AP45" s="163"/>
      <c r="AQ45" s="163"/>
      <c r="AR45" s="163"/>
      <c r="AS45" s="163"/>
      <c r="AT45" s="163"/>
      <c r="AU45" s="163"/>
    </row>
    <row r="46" spans="1:47" ht="14.25" customHeight="1" x14ac:dyDescent="0.2">
      <c r="A46" s="51" t="str">
        <f t="shared" si="7"/>
        <v>[356a380a]|SOL|PrecisionTrend|30m</v>
      </c>
      <c r="B46" s="82" t="s">
        <v>165</v>
      </c>
      <c r="C46" s="82"/>
      <c r="D46" s="82" t="s">
        <v>213</v>
      </c>
      <c r="E46" s="82" t="s">
        <v>43</v>
      </c>
      <c r="F46" s="82" t="s">
        <v>214</v>
      </c>
      <c r="G46" s="82" t="s">
        <v>38</v>
      </c>
      <c r="H46" s="164"/>
      <c r="I46" s="164"/>
      <c r="J46" s="164"/>
      <c r="K46" s="164"/>
      <c r="L46" s="164">
        <f>75.75/6.62</f>
        <v>11.442598187311178</v>
      </c>
      <c r="M46" s="83">
        <v>250</v>
      </c>
      <c r="N46" s="165">
        <v>45682</v>
      </c>
      <c r="O46" s="55"/>
      <c r="P46" s="55">
        <v>-2.39</v>
      </c>
      <c r="Q46" s="55">
        <v>0.64</v>
      </c>
      <c r="R46" s="55">
        <v>-3.65</v>
      </c>
      <c r="S46" s="55">
        <v>-2.66</v>
      </c>
      <c r="T46" s="55">
        <v>-0.65</v>
      </c>
      <c r="U46" s="55">
        <v>1.33</v>
      </c>
      <c r="V46" s="55">
        <v>2.79</v>
      </c>
      <c r="W46" s="55">
        <v>-0.03</v>
      </c>
      <c r="X46" s="55">
        <v>8.06</v>
      </c>
      <c r="Y46" s="55">
        <v>8.39</v>
      </c>
      <c r="Z46" s="167" t="s">
        <v>215</v>
      </c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163"/>
      <c r="AO46" s="163"/>
      <c r="AP46" s="163"/>
      <c r="AQ46" s="163"/>
      <c r="AR46" s="163"/>
      <c r="AS46" s="163"/>
      <c r="AT46" s="163"/>
      <c r="AU46" s="163"/>
    </row>
    <row r="47" spans="1:47" x14ac:dyDescent="0.2">
      <c r="A47" s="39" t="str">
        <f t="shared" si="7"/>
        <v>|KAS|topBottom|1H</v>
      </c>
      <c r="B47" s="78" t="s">
        <v>62</v>
      </c>
      <c r="C47" s="1"/>
      <c r="D47" s="3"/>
      <c r="E47" s="78" t="s">
        <v>216</v>
      </c>
      <c r="F47" s="78" t="s">
        <v>217</v>
      </c>
      <c r="G47" s="78" t="s">
        <v>52</v>
      </c>
      <c r="H47" s="18"/>
      <c r="I47" s="18"/>
      <c r="J47" s="18"/>
      <c r="K47" s="18"/>
      <c r="L47" s="18">
        <f>94.55/7.27</f>
        <v>13.005502063273727</v>
      </c>
      <c r="M47" s="4">
        <v>189</v>
      </c>
      <c r="N47" s="79">
        <v>45863</v>
      </c>
      <c r="O47" s="21"/>
      <c r="P47" s="21">
        <v>-1.01</v>
      </c>
      <c r="Q47" s="168">
        <v>-0.43</v>
      </c>
      <c r="R47" s="168">
        <v>-6.04</v>
      </c>
      <c r="S47" s="3">
        <v>3.63</v>
      </c>
      <c r="T47" s="3">
        <v>0.48</v>
      </c>
      <c r="U47" s="3">
        <v>1.22</v>
      </c>
      <c r="V47" s="3">
        <v>3.89</v>
      </c>
      <c r="W47" s="3">
        <v>0.61</v>
      </c>
      <c r="X47" s="3">
        <v>2.09</v>
      </c>
      <c r="Y47" s="3">
        <v>4.05</v>
      </c>
      <c r="Z47" s="169"/>
    </row>
    <row r="48" spans="1:47" x14ac:dyDescent="0.2">
      <c r="A48" s="170" t="str">
        <f t="shared" si="7"/>
        <v>[da58bf67]|NEAR|stiffSurge|1H</v>
      </c>
      <c r="B48" s="171" t="s">
        <v>62</v>
      </c>
      <c r="C48" s="8"/>
      <c r="D48" s="14" t="s">
        <v>87</v>
      </c>
      <c r="E48" s="171" t="s">
        <v>57</v>
      </c>
      <c r="F48" s="171" t="s">
        <v>218</v>
      </c>
      <c r="G48" s="171" t="s">
        <v>52</v>
      </c>
      <c r="H48" s="9"/>
      <c r="I48" s="9"/>
      <c r="J48" s="9"/>
      <c r="K48" s="9"/>
      <c r="L48" s="9">
        <f>19.34/17.59</f>
        <v>1.0994883456509381</v>
      </c>
      <c r="M48" s="172">
        <v>354</v>
      </c>
      <c r="N48" s="173">
        <v>45863</v>
      </c>
      <c r="O48" s="14"/>
      <c r="P48" s="14">
        <v>-2.86</v>
      </c>
      <c r="Q48" s="14">
        <v>3.55</v>
      </c>
      <c r="R48" s="14">
        <v>0.61</v>
      </c>
      <c r="S48" s="14">
        <v>-0.95</v>
      </c>
      <c r="T48" s="14">
        <v>3.1</v>
      </c>
      <c r="U48" s="14" t="s">
        <v>219</v>
      </c>
      <c r="V48" s="14">
        <v>-0.28000000000000003</v>
      </c>
      <c r="W48" s="14">
        <v>2.6</v>
      </c>
      <c r="X48" s="14">
        <v>0.57999999999999996</v>
      </c>
      <c r="Y48" s="14">
        <v>0.57999999999999996</v>
      </c>
      <c r="Z48" s="174" t="s">
        <v>220</v>
      </c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</row>
    <row r="49" spans="1:47" x14ac:dyDescent="0.2">
      <c r="A49" s="39" t="str">
        <f t="shared" si="7"/>
        <v>28.01.2025|MANTA|FMVA|1H</v>
      </c>
      <c r="B49" s="42" t="s">
        <v>62</v>
      </c>
      <c r="C49" s="17"/>
      <c r="D49" s="42" t="s">
        <v>221</v>
      </c>
      <c r="E49" s="42" t="s">
        <v>222</v>
      </c>
      <c r="F49" s="42" t="s">
        <v>156</v>
      </c>
      <c r="G49" s="42" t="s">
        <v>52</v>
      </c>
      <c r="H49" s="103"/>
      <c r="I49" s="103"/>
      <c r="J49" s="103"/>
      <c r="K49" s="103"/>
      <c r="L49" s="103">
        <f>10.24/4.45</f>
        <v>2.3011235955056177</v>
      </c>
      <c r="M49" s="46">
        <v>42</v>
      </c>
      <c r="N49" s="81">
        <v>45802</v>
      </c>
      <c r="O49" s="21"/>
      <c r="P49" s="21">
        <v>-2.54</v>
      </c>
      <c r="Q49" s="21">
        <v>1.88</v>
      </c>
      <c r="R49" s="21">
        <v>-0.17</v>
      </c>
      <c r="S49" s="21">
        <v>2.9</v>
      </c>
      <c r="T49" s="21">
        <v>0.41</v>
      </c>
      <c r="U49" s="21">
        <v>-0.89</v>
      </c>
      <c r="V49" s="21">
        <v>-0.19</v>
      </c>
      <c r="W49" s="21">
        <v>0</v>
      </c>
      <c r="X49" s="21">
        <v>0</v>
      </c>
      <c r="Y49" s="21">
        <v>1.4</v>
      </c>
      <c r="Z49" s="175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</row>
    <row r="50" spans="1:47" x14ac:dyDescent="0.2">
      <c r="A50" s="39" t="str">
        <f t="shared" si="7"/>
        <v>01.04.2025|CHR|BotifyX|40m</v>
      </c>
      <c r="B50" s="78" t="s">
        <v>62</v>
      </c>
      <c r="C50" s="1"/>
      <c r="D50" s="78" t="s">
        <v>223</v>
      </c>
      <c r="E50" s="78" t="s">
        <v>224</v>
      </c>
      <c r="F50" s="78" t="s">
        <v>208</v>
      </c>
      <c r="G50" s="78" t="s">
        <v>225</v>
      </c>
      <c r="H50" s="176"/>
      <c r="I50" s="176"/>
      <c r="J50" s="176"/>
      <c r="K50" s="176"/>
      <c r="L50" s="176">
        <f>41.45/6.33</f>
        <v>6.5481832543443925</v>
      </c>
      <c r="M50" s="96">
        <v>177</v>
      </c>
      <c r="N50" s="76">
        <v>45772</v>
      </c>
      <c r="O50" s="3"/>
      <c r="P50" s="3">
        <v>-6.45</v>
      </c>
      <c r="Q50" s="3">
        <v>-3.27</v>
      </c>
      <c r="R50" s="3">
        <v>0.05</v>
      </c>
      <c r="S50" s="3">
        <v>6.02</v>
      </c>
      <c r="T50" s="3">
        <v>1.65</v>
      </c>
      <c r="U50" s="3">
        <v>0.65</v>
      </c>
      <c r="V50" s="3">
        <v>-9.91</v>
      </c>
      <c r="W50" s="3">
        <v>1.36</v>
      </c>
      <c r="X50" s="3">
        <v>1.2</v>
      </c>
      <c r="Y50" s="3">
        <v>3.24</v>
      </c>
      <c r="Z50" s="169"/>
    </row>
    <row r="51" spans="1:47" x14ac:dyDescent="0.2">
      <c r="A51" s="119" t="str">
        <f t="shared" si="7"/>
        <v>[56739c94]|SOL|MACD|1H</v>
      </c>
      <c r="B51" s="129" t="s">
        <v>62</v>
      </c>
      <c r="C51" s="120"/>
      <c r="D51" s="129" t="s">
        <v>226</v>
      </c>
      <c r="E51" s="129" t="s">
        <v>43</v>
      </c>
      <c r="F51" s="129" t="s">
        <v>34</v>
      </c>
      <c r="G51" s="129" t="s">
        <v>52</v>
      </c>
      <c r="H51" s="150"/>
      <c r="I51" s="150"/>
      <c r="J51" s="150"/>
      <c r="K51" s="150"/>
      <c r="L51" s="150">
        <f>50.94/5.93</f>
        <v>8.590219224283306</v>
      </c>
      <c r="M51" s="151">
        <v>151</v>
      </c>
      <c r="N51" s="152">
        <v>45863</v>
      </c>
      <c r="O51" s="127"/>
      <c r="P51" s="127">
        <v>-1.07</v>
      </c>
      <c r="Q51" s="127">
        <v>1.34</v>
      </c>
      <c r="R51" s="127">
        <v>-2.46</v>
      </c>
      <c r="S51" s="127">
        <v>1.2</v>
      </c>
      <c r="T51" s="127">
        <v>0.62</v>
      </c>
      <c r="U51" s="127">
        <v>4.6900000000000004</v>
      </c>
      <c r="V51" s="127">
        <v>1.46</v>
      </c>
      <c r="W51" s="127">
        <v>0.71</v>
      </c>
      <c r="X51" s="127">
        <v>0.12</v>
      </c>
      <c r="Y51" s="127">
        <v>0.19</v>
      </c>
      <c r="Z51" s="138" t="s">
        <v>227</v>
      </c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</row>
    <row r="52" spans="1:47" x14ac:dyDescent="0.2">
      <c r="A52" s="39" t="str">
        <f t="shared" si="7"/>
        <v>13.05.2025|SOL|precisionTrend|30m</v>
      </c>
      <c r="B52" s="129" t="s">
        <v>62</v>
      </c>
      <c r="C52" s="120"/>
      <c r="D52" s="129" t="s">
        <v>144</v>
      </c>
      <c r="E52" s="129" t="s">
        <v>43</v>
      </c>
      <c r="F52" s="129" t="s">
        <v>54</v>
      </c>
      <c r="G52" s="129" t="s">
        <v>38</v>
      </c>
      <c r="H52" s="150"/>
      <c r="I52" s="150"/>
      <c r="J52" s="150"/>
      <c r="K52" s="150"/>
      <c r="L52" s="150">
        <f>148/4.1</f>
        <v>36.09756097560976</v>
      </c>
      <c r="M52" s="151">
        <v>136</v>
      </c>
      <c r="N52" s="152">
        <v>45894</v>
      </c>
      <c r="O52" s="127"/>
      <c r="P52" s="127">
        <v>1.52</v>
      </c>
      <c r="Q52" s="127">
        <v>4.16</v>
      </c>
      <c r="R52" s="127">
        <v>0.78</v>
      </c>
      <c r="S52" s="127">
        <v>3.9</v>
      </c>
      <c r="T52" s="127">
        <v>-0.22</v>
      </c>
      <c r="U52" s="127">
        <v>3.65</v>
      </c>
      <c r="V52" s="127">
        <v>2.96</v>
      </c>
      <c r="W52" s="127">
        <v>2.17</v>
      </c>
      <c r="X52" s="127">
        <v>2.21</v>
      </c>
      <c r="Y52" s="127">
        <v>0.67</v>
      </c>
      <c r="Z52" s="138" t="s">
        <v>228</v>
      </c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</row>
    <row r="53" spans="1:47" x14ac:dyDescent="0.2">
      <c r="A53" s="51" t="str">
        <f t="shared" si="7"/>
        <v>|AVAX|Trendhoo|59m</v>
      </c>
      <c r="B53" s="48" t="s">
        <v>77</v>
      </c>
      <c r="C53" s="48"/>
      <c r="D53" s="48"/>
      <c r="E53" s="48" t="s">
        <v>229</v>
      </c>
      <c r="F53" s="48" t="s">
        <v>67</v>
      </c>
      <c r="G53" s="48" t="s">
        <v>85</v>
      </c>
      <c r="H53" s="49"/>
      <c r="I53" s="49"/>
      <c r="J53" s="49"/>
      <c r="K53" s="49"/>
      <c r="L53" s="49">
        <f>109.59/10.05</f>
        <v>10.904477611940298</v>
      </c>
      <c r="M53" s="48">
        <v>383</v>
      </c>
      <c r="N53" s="177">
        <v>45863</v>
      </c>
      <c r="O53" s="55"/>
      <c r="P53" s="55">
        <v>-5.69</v>
      </c>
      <c r="Q53" s="55">
        <v>1.23</v>
      </c>
      <c r="R53" s="55">
        <v>-7.07</v>
      </c>
      <c r="S53" s="48">
        <v>6.69</v>
      </c>
      <c r="T53" s="48">
        <v>4.53</v>
      </c>
      <c r="U53" s="48">
        <v>4.58</v>
      </c>
      <c r="V53" s="48">
        <v>0.74</v>
      </c>
      <c r="W53" s="48">
        <v>4.08</v>
      </c>
      <c r="X53" s="48">
        <v>6.1</v>
      </c>
      <c r="Y53" s="48">
        <v>0.17</v>
      </c>
      <c r="Z53" s="17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163"/>
      <c r="AO53" s="163"/>
      <c r="AP53" s="163"/>
      <c r="AQ53" s="163"/>
      <c r="AR53" s="163"/>
      <c r="AS53" s="163"/>
      <c r="AT53" s="163"/>
      <c r="AU53" s="163"/>
    </row>
    <row r="54" spans="1:47" x14ac:dyDescent="0.2">
      <c r="A54" s="51" t="str">
        <f t="shared" si="7"/>
        <v>|AVAX|stiffSurge|1H</v>
      </c>
      <c r="B54" s="163" t="s">
        <v>62</v>
      </c>
      <c r="C54" s="48"/>
      <c r="D54" s="163"/>
      <c r="E54" s="163" t="s">
        <v>229</v>
      </c>
      <c r="F54" s="163" t="s">
        <v>218</v>
      </c>
      <c r="G54" s="163" t="s">
        <v>52</v>
      </c>
      <c r="H54" s="52"/>
      <c r="I54" s="52"/>
      <c r="J54" s="52"/>
      <c r="K54" s="52"/>
      <c r="L54" s="52">
        <f>99.89/5.55</f>
        <v>17.9981981981982</v>
      </c>
      <c r="M54" s="161">
        <v>602</v>
      </c>
      <c r="N54" s="177">
        <v>45925</v>
      </c>
      <c r="O54" s="55"/>
      <c r="P54" s="55">
        <v>-2.23</v>
      </c>
      <c r="Q54" s="55">
        <v>2.3199999999999998</v>
      </c>
      <c r="R54" s="55">
        <v>2.78</v>
      </c>
      <c r="S54" s="55">
        <v>4.1100000000000003</v>
      </c>
      <c r="T54" s="55">
        <v>4</v>
      </c>
      <c r="U54" s="55">
        <v>3.51</v>
      </c>
      <c r="V54" s="55">
        <v>-2.92</v>
      </c>
      <c r="W54" s="55">
        <v>4.07</v>
      </c>
      <c r="X54" s="55">
        <v>2.34</v>
      </c>
      <c r="Y54" s="55">
        <v>1.39</v>
      </c>
      <c r="Z54" s="179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</row>
    <row r="55" spans="1:47" x14ac:dyDescent="0.2">
      <c r="A55" s="51" t="str">
        <f t="shared" si="7"/>
        <v>[beb9123b]|LDO|XMA|30m</v>
      </c>
      <c r="B55" s="163" t="s">
        <v>62</v>
      </c>
      <c r="C55" s="48"/>
      <c r="D55" s="163" t="s">
        <v>230</v>
      </c>
      <c r="E55" s="163" t="s">
        <v>231</v>
      </c>
      <c r="F55" s="163" t="s">
        <v>232</v>
      </c>
      <c r="G55" s="163" t="s">
        <v>38</v>
      </c>
      <c r="H55" s="52"/>
      <c r="I55" s="52"/>
      <c r="J55" s="52"/>
      <c r="K55" s="52"/>
      <c r="L55" s="52">
        <f>95.56/18.38</f>
        <v>5.1991294885745383</v>
      </c>
      <c r="M55" s="161">
        <v>237</v>
      </c>
      <c r="N55" s="177">
        <f>N54</f>
        <v>45925</v>
      </c>
      <c r="O55" s="55"/>
      <c r="P55" s="55">
        <v>-1.4</v>
      </c>
      <c r="Q55" s="55">
        <v>-3.23</v>
      </c>
      <c r="R55" s="55">
        <v>6.33</v>
      </c>
      <c r="S55" s="55">
        <v>2.09</v>
      </c>
      <c r="T55" s="55">
        <v>6.23</v>
      </c>
      <c r="U55" s="55">
        <v>8.19</v>
      </c>
      <c r="V55" s="55">
        <v>6.83</v>
      </c>
      <c r="W55" s="55">
        <v>2.99</v>
      </c>
      <c r="X55" s="55">
        <v>3.9</v>
      </c>
      <c r="Y55" s="55">
        <v>7.39</v>
      </c>
      <c r="Z55" s="179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</row>
    <row r="56" spans="1:47" x14ac:dyDescent="0.2">
      <c r="A56" s="51" t="str">
        <f t="shared" si="7"/>
        <v>[f814d954]|ARB|JpTrendForce|1H</v>
      </c>
      <c r="B56" s="163" t="s">
        <v>62</v>
      </c>
      <c r="C56" s="48"/>
      <c r="D56" s="163" t="s">
        <v>233</v>
      </c>
      <c r="E56" s="163" t="s">
        <v>30</v>
      </c>
      <c r="F56" s="163" t="s">
        <v>99</v>
      </c>
      <c r="G56" s="163" t="s">
        <v>52</v>
      </c>
      <c r="H56" s="52"/>
      <c r="I56" s="52"/>
      <c r="J56" s="52"/>
      <c r="K56" s="52"/>
      <c r="L56" s="52">
        <f>182.28/13.94</f>
        <v>13.076040172166428</v>
      </c>
      <c r="M56" s="161">
        <v>265</v>
      </c>
      <c r="N56" s="177">
        <v>45925</v>
      </c>
      <c r="O56" s="55"/>
      <c r="P56" s="55">
        <v>-3.07</v>
      </c>
      <c r="Q56" s="55">
        <v>0.01</v>
      </c>
      <c r="R56" s="55">
        <v>7.48</v>
      </c>
      <c r="S56" s="55">
        <v>4.62</v>
      </c>
      <c r="T56" s="55">
        <v>4.0599999999999996</v>
      </c>
      <c r="U56" s="55">
        <v>7.01</v>
      </c>
      <c r="V56" s="55">
        <v>8.83</v>
      </c>
      <c r="W56" s="55">
        <v>6.15</v>
      </c>
      <c r="X56" s="55">
        <v>6.34</v>
      </c>
      <c r="Y56" s="55">
        <v>6.95</v>
      </c>
      <c r="Z56" s="179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</row>
    <row r="57" spans="1:47" x14ac:dyDescent="0.2">
      <c r="A57" s="51" t="str">
        <f t="shared" si="7"/>
        <v>[7bd42610]|XLM|SuperFDead|1H</v>
      </c>
      <c r="B57" s="163" t="s">
        <v>62</v>
      </c>
      <c r="C57" s="48"/>
      <c r="D57" s="163" t="s">
        <v>234</v>
      </c>
      <c r="E57" s="163" t="s">
        <v>235</v>
      </c>
      <c r="F57" s="163" t="s">
        <v>236</v>
      </c>
      <c r="G57" s="163" t="s">
        <v>52</v>
      </c>
      <c r="H57" s="52"/>
      <c r="I57" s="52"/>
      <c r="J57" s="52"/>
      <c r="K57" s="52"/>
      <c r="L57" s="52">
        <f>41.03/4.14</f>
        <v>9.9106280193236724</v>
      </c>
      <c r="M57" s="161">
        <v>161</v>
      </c>
      <c r="N57" s="177">
        <v>45772</v>
      </c>
      <c r="O57" s="55"/>
      <c r="P57" s="55">
        <v>-0.47</v>
      </c>
      <c r="Q57" s="55">
        <v>-2.5499999999999998</v>
      </c>
      <c r="R57" s="55">
        <v>2.15</v>
      </c>
      <c r="S57" s="55">
        <v>5.19</v>
      </c>
      <c r="T57" s="55">
        <v>-0.57999999999999996</v>
      </c>
      <c r="U57" s="55">
        <v>0.21</v>
      </c>
      <c r="V57" s="55">
        <v>3.7</v>
      </c>
      <c r="W57" s="55">
        <v>1.53</v>
      </c>
      <c r="X57" s="55">
        <v>-1.47</v>
      </c>
      <c r="Y57" s="55">
        <v>-0.68</v>
      </c>
      <c r="Z57" s="179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</row>
    <row r="58" spans="1:47" x14ac:dyDescent="0.2">
      <c r="A58" s="51" t="str">
        <f t="shared" si="7"/>
        <v>22.04.2025|ARB|DeadZone|1H</v>
      </c>
      <c r="B58" s="163" t="s">
        <v>62</v>
      </c>
      <c r="C58" s="48"/>
      <c r="D58" s="163" t="s">
        <v>237</v>
      </c>
      <c r="E58" s="163" t="s">
        <v>30</v>
      </c>
      <c r="F58" s="163" t="s">
        <v>70</v>
      </c>
      <c r="G58" s="163" t="s">
        <v>52</v>
      </c>
      <c r="H58" s="52"/>
      <c r="I58" s="52"/>
      <c r="J58" s="52"/>
      <c r="K58" s="52"/>
      <c r="L58" s="52">
        <f>58.65/5.34</f>
        <v>10.98314606741573</v>
      </c>
      <c r="M58" s="161">
        <v>198</v>
      </c>
      <c r="N58" s="177">
        <v>45863</v>
      </c>
      <c r="O58" s="55"/>
      <c r="P58" s="55">
        <v>0.57999999999999996</v>
      </c>
      <c r="Q58" s="55">
        <v>-0.17</v>
      </c>
      <c r="R58" s="55">
        <v>2.82</v>
      </c>
      <c r="S58" s="55">
        <v>3.83</v>
      </c>
      <c r="T58" s="55">
        <v>0.05</v>
      </c>
      <c r="U58" s="55">
        <v>4.34</v>
      </c>
      <c r="V58" s="55">
        <v>0.51</v>
      </c>
      <c r="W58" s="55">
        <v>3.33</v>
      </c>
      <c r="X58" s="55">
        <v>6.57</v>
      </c>
      <c r="Y58" s="55">
        <v>1.56</v>
      </c>
      <c r="Z58" s="179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</row>
    <row r="59" spans="1:47" x14ac:dyDescent="0.2">
      <c r="A59" s="119" t="str">
        <f t="shared" si="7"/>
        <v>[da58bf67]|NEAR|Trendhoo|30m</v>
      </c>
      <c r="B59" s="129" t="s">
        <v>62</v>
      </c>
      <c r="C59" s="120"/>
      <c r="D59" s="127" t="s">
        <v>87</v>
      </c>
      <c r="E59" s="129" t="s">
        <v>57</v>
      </c>
      <c r="F59" s="120" t="s">
        <v>67</v>
      </c>
      <c r="G59" s="129" t="s">
        <v>38</v>
      </c>
      <c r="H59" s="150"/>
      <c r="I59" s="150"/>
      <c r="J59" s="150"/>
      <c r="K59" s="150"/>
      <c r="L59" s="150">
        <f>44.54/7.45</f>
        <v>5.9785234899328854</v>
      </c>
      <c r="M59" s="151">
        <v>188</v>
      </c>
      <c r="N59" s="137">
        <v>45802</v>
      </c>
      <c r="O59" s="127"/>
      <c r="P59" s="127">
        <v>0.27</v>
      </c>
      <c r="Q59" s="127">
        <v>0</v>
      </c>
      <c r="R59" s="127">
        <v>4.76</v>
      </c>
      <c r="S59" s="127">
        <v>1.93</v>
      </c>
      <c r="T59" s="127">
        <v>1.34</v>
      </c>
      <c r="U59" s="127">
        <v>2.2999999999999998</v>
      </c>
      <c r="V59" s="127">
        <v>0.08</v>
      </c>
      <c r="W59" s="127">
        <v>1.26</v>
      </c>
      <c r="X59" s="127">
        <v>1.01</v>
      </c>
      <c r="Y59" s="127">
        <v>5.82</v>
      </c>
      <c r="Z59" s="138" t="s">
        <v>238</v>
      </c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</row>
    <row r="60" spans="1:47" x14ac:dyDescent="0.2">
      <c r="A60" s="51" t="str">
        <f t="shared" si="7"/>
        <v>[ccaef8fd]|PEPE|StiffSurge|45m</v>
      </c>
      <c r="B60" s="163" t="s">
        <v>62</v>
      </c>
      <c r="C60" s="48"/>
      <c r="D60" s="163" t="s">
        <v>239</v>
      </c>
      <c r="E60" s="163" t="s">
        <v>240</v>
      </c>
      <c r="F60" s="163" t="s">
        <v>241</v>
      </c>
      <c r="G60" s="163" t="s">
        <v>32</v>
      </c>
      <c r="H60" s="52"/>
      <c r="I60" s="52"/>
      <c r="J60" s="52"/>
      <c r="K60" s="52"/>
      <c r="L60" s="52">
        <f>56.43/16.58</f>
        <v>3.4034981905910739</v>
      </c>
      <c r="M60" s="161">
        <v>469</v>
      </c>
      <c r="N60" s="177">
        <v>45863</v>
      </c>
      <c r="O60" s="55"/>
      <c r="P60" s="55">
        <v>-0.65</v>
      </c>
      <c r="Q60" s="55">
        <v>1.2</v>
      </c>
      <c r="R60" s="55">
        <v>2.79</v>
      </c>
      <c r="S60" s="55">
        <v>2.87</v>
      </c>
      <c r="T60" s="55">
        <v>3.89</v>
      </c>
      <c r="U60" s="55">
        <v>3.84</v>
      </c>
      <c r="V60" s="55">
        <v>0.71</v>
      </c>
      <c r="W60" s="55">
        <v>2.2599999999999998</v>
      </c>
      <c r="X60" s="55">
        <v>2.06</v>
      </c>
      <c r="Y60" s="55">
        <v>4.67</v>
      </c>
      <c r="Z60" s="179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</row>
    <row r="61" spans="1:47" ht="14.25" customHeight="1" x14ac:dyDescent="0.2">
      <c r="A61" s="51" t="str">
        <f t="shared" si="7"/>
        <v>|GRT|stiffSurge|45m</v>
      </c>
      <c r="B61" s="48" t="s">
        <v>165</v>
      </c>
      <c r="C61" s="48"/>
      <c r="D61" s="48"/>
      <c r="E61" s="48" t="s">
        <v>242</v>
      </c>
      <c r="F61" s="48" t="s">
        <v>218</v>
      </c>
      <c r="G61" s="48" t="s">
        <v>32</v>
      </c>
      <c r="H61" s="49"/>
      <c r="I61" s="49"/>
      <c r="J61" s="49"/>
      <c r="K61" s="49"/>
      <c r="L61" s="49">
        <f>35.88/9.87</f>
        <v>3.6352583586626146</v>
      </c>
      <c r="M61" s="180">
        <v>790</v>
      </c>
      <c r="N61" s="177">
        <v>45863</v>
      </c>
      <c r="O61" s="55"/>
      <c r="P61" s="55">
        <v>-2.2999999999999998</v>
      </c>
      <c r="Q61" s="55">
        <v>-5.51</v>
      </c>
      <c r="R61" s="55">
        <v>-2.19</v>
      </c>
      <c r="S61" s="55">
        <v>6.32</v>
      </c>
      <c r="T61" s="55">
        <v>4.93</v>
      </c>
      <c r="U61" s="55">
        <v>2.69</v>
      </c>
      <c r="V61" s="55">
        <v>-1.3</v>
      </c>
      <c r="W61" s="55">
        <v>0.36</v>
      </c>
      <c r="X61" s="55">
        <v>4.8899999999999997</v>
      </c>
      <c r="Y61" s="55">
        <v>7.17</v>
      </c>
      <c r="Z61" s="17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163"/>
      <c r="AO61" s="163"/>
      <c r="AP61" s="163"/>
      <c r="AQ61" s="163"/>
      <c r="AR61" s="163"/>
      <c r="AS61" s="163"/>
      <c r="AT61" s="163"/>
      <c r="AU61" s="163"/>
    </row>
    <row r="62" spans="1:47" x14ac:dyDescent="0.2">
      <c r="A62" s="39" t="str">
        <f t="shared" si="7"/>
        <v>[6a1f9b4d]|RSR|stiffSurge|45m</v>
      </c>
      <c r="B62" s="78" t="s">
        <v>62</v>
      </c>
      <c r="C62" s="1"/>
      <c r="D62" s="78" t="s">
        <v>243</v>
      </c>
      <c r="E62" s="78" t="s">
        <v>244</v>
      </c>
      <c r="F62" s="78" t="s">
        <v>218</v>
      </c>
      <c r="G62" s="78" t="s">
        <v>32</v>
      </c>
      <c r="H62" s="95"/>
      <c r="I62" s="95"/>
      <c r="J62" s="95"/>
      <c r="K62" s="95"/>
      <c r="L62" s="95">
        <f>57.95/7.67</f>
        <v>7.555410691003912</v>
      </c>
      <c r="M62" s="96">
        <v>530</v>
      </c>
      <c r="N62" s="81">
        <v>45925</v>
      </c>
      <c r="O62" s="3"/>
      <c r="P62" s="3">
        <v>-1.8</v>
      </c>
      <c r="Q62" s="3">
        <v>0.84</v>
      </c>
      <c r="R62" s="3">
        <v>1.17</v>
      </c>
      <c r="S62" s="3">
        <v>4.07</v>
      </c>
      <c r="T62" s="3">
        <v>-0.03</v>
      </c>
      <c r="U62" s="3">
        <v>6.82</v>
      </c>
      <c r="V62" s="3">
        <v>-0.51</v>
      </c>
      <c r="W62" s="3">
        <v>1.01</v>
      </c>
      <c r="X62" s="3">
        <v>4.2699999999999996</v>
      </c>
      <c r="Y62" s="3">
        <v>-0.81</v>
      </c>
      <c r="Z62" s="169"/>
    </row>
    <row r="63" spans="1:47" x14ac:dyDescent="0.2">
      <c r="A63" s="39" t="str">
        <f t="shared" si="7"/>
        <v>18.02.2025|VET|FMVA|1H</v>
      </c>
      <c r="B63" s="42" t="s">
        <v>62</v>
      </c>
      <c r="C63" s="17"/>
      <c r="D63" s="42" t="s">
        <v>154</v>
      </c>
      <c r="E63" s="42" t="s">
        <v>155</v>
      </c>
      <c r="F63" s="42" t="s">
        <v>156</v>
      </c>
      <c r="G63" s="42" t="s">
        <v>52</v>
      </c>
      <c r="H63" s="19"/>
      <c r="I63" s="19"/>
      <c r="J63" s="19"/>
      <c r="K63" s="19"/>
      <c r="L63" s="19">
        <f>17.55/5.72</f>
        <v>3.0681818181818183</v>
      </c>
      <c r="M63" s="46">
        <v>81</v>
      </c>
      <c r="N63" s="45">
        <v>45772</v>
      </c>
      <c r="O63" s="21"/>
      <c r="P63" s="21">
        <v>-1.63</v>
      </c>
      <c r="Q63" s="21">
        <v>-0.97</v>
      </c>
      <c r="R63" s="21">
        <v>1.25</v>
      </c>
      <c r="S63" s="21">
        <v>1.44</v>
      </c>
      <c r="T63" s="21">
        <v>1.4</v>
      </c>
      <c r="U63" s="21">
        <v>4.12</v>
      </c>
      <c r="V63" s="21">
        <v>-0.54</v>
      </c>
      <c r="W63" s="21">
        <v>0.62</v>
      </c>
      <c r="X63" s="21">
        <v>-1.49</v>
      </c>
      <c r="Y63" s="21">
        <v>-3.15</v>
      </c>
      <c r="Z63" s="175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</row>
    <row r="64" spans="1:47" x14ac:dyDescent="0.2">
      <c r="A64" s="39" t="str">
        <f t="shared" si="7"/>
        <v>[14c16208]|NEAR|stiffSurge|90m</v>
      </c>
      <c r="B64" s="78" t="s">
        <v>62</v>
      </c>
      <c r="C64" s="1"/>
      <c r="D64" s="78" t="s">
        <v>245</v>
      </c>
      <c r="E64" s="78" t="s">
        <v>57</v>
      </c>
      <c r="F64" s="78" t="s">
        <v>218</v>
      </c>
      <c r="G64" s="78" t="s">
        <v>48</v>
      </c>
      <c r="L64" s="19">
        <f>5.91/4.29</f>
        <v>1.3776223776223777</v>
      </c>
      <c r="M64" s="46">
        <v>105</v>
      </c>
      <c r="N64" s="45">
        <v>45682</v>
      </c>
      <c r="O64" s="3"/>
      <c r="P64" s="3">
        <v>-1.46</v>
      </c>
      <c r="Q64" s="3">
        <v>3.12</v>
      </c>
      <c r="R64" s="3">
        <v>-0.13</v>
      </c>
      <c r="S64" s="3">
        <v>0.34</v>
      </c>
      <c r="T64" s="3">
        <v>-1.74</v>
      </c>
      <c r="U64" s="3">
        <v>0.24</v>
      </c>
      <c r="V64" s="3">
        <v>0.75</v>
      </c>
      <c r="W64" s="3">
        <v>1.67</v>
      </c>
      <c r="X64" s="3">
        <v>0</v>
      </c>
      <c r="Y64" s="3">
        <v>1.1100000000000001</v>
      </c>
      <c r="Z64" s="181" t="s">
        <v>246</v>
      </c>
    </row>
    <row r="65" spans="1:47" x14ac:dyDescent="0.2">
      <c r="B65" s="78" t="s">
        <v>62</v>
      </c>
      <c r="C65" s="1"/>
      <c r="E65" s="78" t="s">
        <v>46</v>
      </c>
      <c r="F65" s="78" t="s">
        <v>247</v>
      </c>
      <c r="G65" s="78" t="s">
        <v>38</v>
      </c>
      <c r="L65" s="19"/>
      <c r="M65" s="46"/>
      <c r="N65" s="45">
        <v>45682</v>
      </c>
      <c r="O65" s="3"/>
      <c r="P65" s="3">
        <v>4.67</v>
      </c>
      <c r="Q65" s="3">
        <v>-1.19</v>
      </c>
      <c r="R65" s="3">
        <v>3.78</v>
      </c>
      <c r="S65" s="3">
        <v>-0.48</v>
      </c>
      <c r="T65" s="3">
        <v>-0.41</v>
      </c>
      <c r="U65" s="3">
        <v>2.2599999999999998</v>
      </c>
      <c r="V65" s="3">
        <v>0.11</v>
      </c>
      <c r="W65" s="3">
        <v>-0.03</v>
      </c>
      <c r="X65" s="3">
        <v>-3.73</v>
      </c>
      <c r="Y65" s="3">
        <v>3.34</v>
      </c>
      <c r="Z65" s="181" t="s">
        <v>248</v>
      </c>
    </row>
    <row r="66" spans="1:47" x14ac:dyDescent="0.2">
      <c r="B66" s="78" t="s">
        <v>62</v>
      </c>
      <c r="C66" s="1"/>
      <c r="D66" s="78" t="s">
        <v>237</v>
      </c>
      <c r="E66" s="78" t="s">
        <v>235</v>
      </c>
      <c r="F66" s="78" t="s">
        <v>249</v>
      </c>
      <c r="G66" s="78" t="s">
        <v>52</v>
      </c>
      <c r="L66" s="19">
        <f>-14.5/4.82</f>
        <v>-3.008298755186722</v>
      </c>
      <c r="M66" s="46">
        <v>237</v>
      </c>
      <c r="N66" s="45">
        <v>45833</v>
      </c>
      <c r="O66" s="3"/>
      <c r="P66" s="3">
        <v>-2.21</v>
      </c>
      <c r="Q66" s="3">
        <v>0.41</v>
      </c>
      <c r="R66" s="3">
        <v>0.7</v>
      </c>
      <c r="S66" s="3">
        <v>3.66</v>
      </c>
      <c r="T66" s="3">
        <v>-0.92</v>
      </c>
      <c r="U66" s="3">
        <v>0.64</v>
      </c>
      <c r="V66" s="3">
        <v>-2.2400000000000002</v>
      </c>
      <c r="W66" s="3">
        <v>1.58</v>
      </c>
      <c r="X66" s="3">
        <v>0.74</v>
      </c>
      <c r="Y66" s="3">
        <v>0.59</v>
      </c>
      <c r="Z66" s="182" t="s">
        <v>250</v>
      </c>
    </row>
    <row r="67" spans="1:47" x14ac:dyDescent="0.2">
      <c r="A67" s="129"/>
      <c r="B67" s="129" t="s">
        <v>62</v>
      </c>
      <c r="C67" s="120"/>
      <c r="D67" s="129" t="s">
        <v>138</v>
      </c>
      <c r="E67" s="129" t="s">
        <v>43</v>
      </c>
      <c r="F67" s="129" t="s">
        <v>139</v>
      </c>
      <c r="G67" s="129" t="s">
        <v>38</v>
      </c>
      <c r="H67" s="129"/>
      <c r="I67" s="129"/>
      <c r="J67" s="129"/>
      <c r="K67" s="129"/>
      <c r="L67" s="150">
        <f>124.73/5.3</f>
        <v>23.533962264150944</v>
      </c>
      <c r="M67" s="125">
        <v>115</v>
      </c>
      <c r="N67" s="152">
        <v>45682</v>
      </c>
      <c r="O67" s="127"/>
      <c r="P67" s="127">
        <v>3.61</v>
      </c>
      <c r="Q67" s="127">
        <v>2.3199999999999998</v>
      </c>
      <c r="R67" s="127">
        <v>0.33</v>
      </c>
      <c r="S67" s="127">
        <v>0.3</v>
      </c>
      <c r="T67" s="127">
        <v>0.31</v>
      </c>
      <c r="U67" s="127">
        <v>-0.02</v>
      </c>
      <c r="V67" s="127">
        <v>1.42</v>
      </c>
      <c r="W67" s="127">
        <v>1.8</v>
      </c>
      <c r="X67" s="127">
        <v>2.78</v>
      </c>
      <c r="Y67" s="127">
        <v>-1.44</v>
      </c>
      <c r="Z67" s="138" t="s">
        <v>251</v>
      </c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</row>
    <row r="68" spans="1:47" x14ac:dyDescent="0.2">
      <c r="A68" s="129"/>
      <c r="B68" s="129" t="s">
        <v>62</v>
      </c>
      <c r="C68" s="120"/>
      <c r="D68" s="129" t="s">
        <v>252</v>
      </c>
      <c r="E68" s="129" t="s">
        <v>43</v>
      </c>
      <c r="F68" s="129" t="s">
        <v>241</v>
      </c>
      <c r="G68" s="129" t="s">
        <v>253</v>
      </c>
      <c r="H68" s="129"/>
      <c r="I68" s="129"/>
      <c r="J68" s="129"/>
      <c r="K68" s="129"/>
      <c r="L68" s="150">
        <f>113.16/7.28</f>
        <v>15.543956043956044</v>
      </c>
      <c r="M68" s="46">
        <v>150</v>
      </c>
      <c r="N68" s="81">
        <v>45772</v>
      </c>
      <c r="O68" s="127"/>
      <c r="P68" s="127">
        <v>3</v>
      </c>
      <c r="Q68" s="127">
        <v>2.37</v>
      </c>
      <c r="R68" s="127">
        <v>-0.66</v>
      </c>
      <c r="S68" s="127">
        <v>2.21</v>
      </c>
      <c r="T68" s="127">
        <v>-3.31</v>
      </c>
      <c r="U68" s="127">
        <v>4.47</v>
      </c>
      <c r="V68" s="127">
        <v>0.12</v>
      </c>
      <c r="W68" s="127">
        <v>0.7</v>
      </c>
      <c r="X68" s="127">
        <v>0.17</v>
      </c>
      <c r="Y68" s="127">
        <v>5.0999999999999996</v>
      </c>
      <c r="Z68" s="138" t="s">
        <v>254</v>
      </c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</row>
    <row r="69" spans="1:47" x14ac:dyDescent="0.2">
      <c r="B69" s="78" t="s">
        <v>62</v>
      </c>
      <c r="C69" s="1"/>
      <c r="D69" s="129" t="s">
        <v>252</v>
      </c>
      <c r="E69" s="129" t="s">
        <v>43</v>
      </c>
      <c r="F69" s="129" t="s">
        <v>241</v>
      </c>
      <c r="G69" s="78" t="s">
        <v>32</v>
      </c>
      <c r="L69" s="19">
        <f>45.85/5.85</f>
        <v>7.8376068376068382</v>
      </c>
      <c r="M69" s="46">
        <v>123</v>
      </c>
      <c r="N69" s="45">
        <v>45772</v>
      </c>
      <c r="O69" s="3"/>
      <c r="P69" s="3">
        <v>-0.01</v>
      </c>
      <c r="Q69" s="3">
        <v>2.41</v>
      </c>
      <c r="R69" s="3">
        <v>0.8</v>
      </c>
      <c r="S69" s="3">
        <v>0.13</v>
      </c>
      <c r="T69" s="3">
        <v>1.26</v>
      </c>
      <c r="U69" s="3">
        <v>4.47</v>
      </c>
      <c r="V69" s="3">
        <v>-0.05</v>
      </c>
      <c r="W69" s="3">
        <v>-1.35</v>
      </c>
      <c r="X69" s="3">
        <v>1.37</v>
      </c>
      <c r="Y69" s="3">
        <v>4.7300000000000004</v>
      </c>
      <c r="Z69" s="182" t="s">
        <v>255</v>
      </c>
    </row>
    <row r="70" spans="1:47" x14ac:dyDescent="0.2">
      <c r="B70" s="78" t="s">
        <v>62</v>
      </c>
      <c r="C70" s="1"/>
      <c r="D70" s="78" t="s">
        <v>113</v>
      </c>
      <c r="E70" s="78" t="s">
        <v>46</v>
      </c>
      <c r="F70" s="78" t="s">
        <v>79</v>
      </c>
      <c r="G70" s="78" t="s">
        <v>38</v>
      </c>
      <c r="L70" s="19">
        <f>20.99/4.18</f>
        <v>5.0215311004784686</v>
      </c>
      <c r="M70" s="46">
        <v>257</v>
      </c>
      <c r="N70" s="45">
        <v>45682</v>
      </c>
      <c r="O70" s="3"/>
      <c r="P70" s="3">
        <v>2.78</v>
      </c>
      <c r="Q70" s="3">
        <v>0.4</v>
      </c>
      <c r="R70" s="3">
        <v>1.79</v>
      </c>
      <c r="S70" s="3">
        <v>1.17</v>
      </c>
      <c r="T70" s="3">
        <v>1.55</v>
      </c>
      <c r="U70" s="3">
        <v>2.1</v>
      </c>
      <c r="V70" s="3">
        <v>1.1499999999999999</v>
      </c>
      <c r="W70" s="3">
        <v>1.54</v>
      </c>
      <c r="X70" s="3">
        <v>0.27</v>
      </c>
      <c r="Y70" s="3">
        <v>-0.02</v>
      </c>
      <c r="Z70" s="182" t="s">
        <v>114</v>
      </c>
    </row>
    <row r="71" spans="1:47" x14ac:dyDescent="0.2">
      <c r="B71" s="78" t="s">
        <v>62</v>
      </c>
      <c r="C71" s="1"/>
      <c r="D71" s="78" t="s">
        <v>256</v>
      </c>
      <c r="E71" s="78" t="s">
        <v>46</v>
      </c>
      <c r="F71" s="78" t="s">
        <v>257</v>
      </c>
      <c r="G71" s="78" t="s">
        <v>52</v>
      </c>
      <c r="L71" s="19">
        <f>46.17/3</f>
        <v>15.39</v>
      </c>
      <c r="M71" s="46">
        <v>139</v>
      </c>
      <c r="N71" s="45">
        <v>45802</v>
      </c>
      <c r="O71" s="3"/>
      <c r="P71" s="3">
        <v>2.06</v>
      </c>
      <c r="Q71" s="3">
        <v>0.63</v>
      </c>
      <c r="R71" s="3">
        <v>1.47</v>
      </c>
      <c r="S71" s="3">
        <v>2.74</v>
      </c>
      <c r="T71" s="3">
        <v>0.89</v>
      </c>
      <c r="U71" s="3">
        <v>3.28</v>
      </c>
      <c r="V71" s="3">
        <v>2.63</v>
      </c>
      <c r="W71" s="3">
        <v>2.2200000000000002</v>
      </c>
      <c r="X71" s="3">
        <v>3.37</v>
      </c>
      <c r="Y71" s="3">
        <v>-0.78</v>
      </c>
      <c r="Z71" s="182" t="s">
        <v>258</v>
      </c>
    </row>
    <row r="72" spans="1:47" x14ac:dyDescent="0.2">
      <c r="B72" s="78" t="s">
        <v>62</v>
      </c>
      <c r="C72" s="1"/>
      <c r="D72" s="78" t="s">
        <v>259</v>
      </c>
      <c r="E72" s="78" t="s">
        <v>46</v>
      </c>
      <c r="F72" s="78" t="s">
        <v>139</v>
      </c>
      <c r="G72" s="78" t="s">
        <v>38</v>
      </c>
      <c r="L72" s="19">
        <f>43.52/4.47</f>
        <v>9.7360178970917239</v>
      </c>
      <c r="M72" s="46">
        <v>368</v>
      </c>
      <c r="N72" s="45">
        <v>45682</v>
      </c>
      <c r="O72" s="3"/>
      <c r="P72" s="3">
        <v>3.51</v>
      </c>
      <c r="Q72" s="3">
        <v>-0.15</v>
      </c>
      <c r="R72" s="3">
        <v>4.4800000000000004</v>
      </c>
      <c r="S72" s="3">
        <v>1.2</v>
      </c>
      <c r="T72" s="3">
        <v>-0.86</v>
      </c>
      <c r="U72" s="3">
        <v>2.62</v>
      </c>
      <c r="V72" s="3">
        <v>1.59</v>
      </c>
      <c r="W72" s="3">
        <v>-1.03</v>
      </c>
      <c r="X72" s="3">
        <v>-0.76</v>
      </c>
      <c r="Y72" s="3">
        <v>1.71</v>
      </c>
      <c r="Z72" s="182" t="s">
        <v>260</v>
      </c>
    </row>
    <row r="73" spans="1:47" ht="14.25" customHeight="1" x14ac:dyDescent="0.2">
      <c r="A73" s="51" t="str">
        <f t="shared" ref="A73:A74" si="8">D73&amp;"|"&amp;E73&amp;"|"&amp;F73&amp;"|"&amp;G73</f>
        <v>|GALA|McGingley|45m</v>
      </c>
      <c r="B73" s="48" t="s">
        <v>77</v>
      </c>
      <c r="C73" s="48">
        <v>0.15</v>
      </c>
      <c r="D73" s="48"/>
      <c r="E73" s="48" t="s">
        <v>261</v>
      </c>
      <c r="F73" s="48" t="s">
        <v>79</v>
      </c>
      <c r="G73" s="48" t="s">
        <v>32</v>
      </c>
      <c r="H73" s="49"/>
      <c r="I73" s="49"/>
      <c r="J73" s="49"/>
      <c r="K73" s="49"/>
      <c r="L73" s="49">
        <f>20.04/6.89</f>
        <v>2.9085631349782295</v>
      </c>
      <c r="M73" s="180">
        <v>356</v>
      </c>
      <c r="N73" s="54">
        <f>N74</f>
        <v>45863</v>
      </c>
      <c r="O73" s="55"/>
      <c r="P73" s="55">
        <v>-3.27</v>
      </c>
      <c r="Q73" s="55">
        <v>-2.76</v>
      </c>
      <c r="R73" s="55">
        <v>-2.58</v>
      </c>
      <c r="S73" s="55">
        <v>3.06</v>
      </c>
      <c r="T73" s="55">
        <v>0.27</v>
      </c>
      <c r="U73" s="55">
        <v>0.79</v>
      </c>
      <c r="V73" s="55">
        <v>-2.57</v>
      </c>
      <c r="W73" s="55">
        <v>0.31</v>
      </c>
      <c r="X73" s="55">
        <v>2</v>
      </c>
      <c r="Y73" s="55">
        <v>2.73</v>
      </c>
      <c r="Z73" s="162" t="s">
        <v>262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163"/>
      <c r="AO73" s="163"/>
      <c r="AP73" s="163"/>
      <c r="AQ73" s="163"/>
      <c r="AR73" s="163"/>
      <c r="AS73" s="163"/>
      <c r="AT73" s="163"/>
      <c r="AU73" s="163"/>
    </row>
    <row r="74" spans="1:47" ht="13.5" customHeight="1" x14ac:dyDescent="0.2">
      <c r="A74" s="51" t="str">
        <f t="shared" si="8"/>
        <v>[84fec9a8]|GALA|Michonne|1H</v>
      </c>
      <c r="B74" s="48" t="s">
        <v>77</v>
      </c>
      <c r="C74" s="48">
        <v>0.15</v>
      </c>
      <c r="D74" s="48" t="s">
        <v>263</v>
      </c>
      <c r="E74" s="48" t="s">
        <v>261</v>
      </c>
      <c r="F74" s="48" t="s">
        <v>264</v>
      </c>
      <c r="G74" s="48" t="s">
        <v>52</v>
      </c>
      <c r="H74" s="52"/>
      <c r="I74" s="52"/>
      <c r="J74" s="52"/>
      <c r="K74" s="52"/>
      <c r="L74" s="52">
        <f>14.8/4.57</f>
        <v>3.2385120350109409</v>
      </c>
      <c r="M74" s="161">
        <v>284</v>
      </c>
      <c r="N74" s="183">
        <v>45863</v>
      </c>
      <c r="O74" s="55"/>
      <c r="P74" s="55">
        <v>-3.23</v>
      </c>
      <c r="Q74" s="55">
        <v>-2.31</v>
      </c>
      <c r="R74" s="55">
        <v>0</v>
      </c>
      <c r="S74" s="55">
        <v>1.74</v>
      </c>
      <c r="T74" s="55">
        <v>1.1200000000000001</v>
      </c>
      <c r="U74" s="55">
        <v>2.5299999999999998</v>
      </c>
      <c r="V74" s="55">
        <v>-0.05</v>
      </c>
      <c r="W74" s="55">
        <v>1.47</v>
      </c>
      <c r="X74" s="55">
        <v>-0.26</v>
      </c>
      <c r="Y74" s="55">
        <v>0.76</v>
      </c>
      <c r="Z74" s="162" t="s">
        <v>265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163"/>
      <c r="AO74" s="163"/>
      <c r="AP74" s="163"/>
      <c r="AQ74" s="163"/>
      <c r="AR74" s="163"/>
      <c r="AS74" s="163"/>
      <c r="AT74" s="163"/>
      <c r="AU74" s="163"/>
    </row>
    <row r="75" spans="1:47" x14ac:dyDescent="0.2">
      <c r="B75" s="78" t="s">
        <v>62</v>
      </c>
      <c r="C75" s="1"/>
      <c r="D75" s="78" t="s">
        <v>266</v>
      </c>
      <c r="E75" s="78" t="s">
        <v>43</v>
      </c>
      <c r="F75" s="78" t="s">
        <v>47</v>
      </c>
      <c r="G75" s="78" t="s">
        <v>32</v>
      </c>
      <c r="L75" s="19">
        <f>201/18</f>
        <v>11.166666666666666</v>
      </c>
      <c r="M75" s="46">
        <v>289</v>
      </c>
      <c r="N75" s="45">
        <v>45802</v>
      </c>
      <c r="O75" s="3">
        <v>9.14</v>
      </c>
      <c r="P75" s="3">
        <v>6.54</v>
      </c>
      <c r="Q75" s="3">
        <v>7.72</v>
      </c>
      <c r="R75" s="3">
        <v>-0.94</v>
      </c>
      <c r="S75" s="3">
        <v>10.68</v>
      </c>
      <c r="T75" s="3">
        <v>5.55</v>
      </c>
      <c r="U75" s="3">
        <v>10.65</v>
      </c>
      <c r="V75" s="3">
        <v>3.22</v>
      </c>
      <c r="W75" s="3">
        <v>3.36</v>
      </c>
      <c r="X75" s="3">
        <v>10.52</v>
      </c>
      <c r="Y75" s="3">
        <v>29.15</v>
      </c>
      <c r="Z75" s="182" t="s">
        <v>267</v>
      </c>
    </row>
    <row r="76" spans="1:47" x14ac:dyDescent="0.2">
      <c r="A76" s="129"/>
      <c r="B76" s="129" t="s">
        <v>62</v>
      </c>
      <c r="C76" s="120"/>
      <c r="D76" s="129" t="s">
        <v>268</v>
      </c>
      <c r="E76" s="129" t="s">
        <v>229</v>
      </c>
      <c r="F76" s="129" t="s">
        <v>54</v>
      </c>
      <c r="G76" s="129" t="s">
        <v>52</v>
      </c>
      <c r="H76" s="129"/>
      <c r="I76" s="129"/>
      <c r="J76" s="129"/>
      <c r="K76" s="129"/>
      <c r="L76" s="150">
        <f>55.4/5.7</f>
        <v>9.7192982456140342</v>
      </c>
      <c r="M76" s="151">
        <v>403</v>
      </c>
      <c r="N76" s="152">
        <v>45682</v>
      </c>
      <c r="O76" s="127">
        <v>1.08</v>
      </c>
      <c r="P76" s="127">
        <v>1.29</v>
      </c>
      <c r="Q76" s="127">
        <v>2.0499999999999998</v>
      </c>
      <c r="R76" s="127">
        <v>0.33</v>
      </c>
      <c r="S76" s="127">
        <v>1.91</v>
      </c>
      <c r="T76" s="127">
        <v>1.84</v>
      </c>
      <c r="U76" s="127">
        <v>1.2</v>
      </c>
      <c r="V76" s="127">
        <v>0.47</v>
      </c>
      <c r="W76" s="127">
        <v>1.21</v>
      </c>
      <c r="X76" s="127">
        <v>0.5</v>
      </c>
      <c r="Y76" s="127">
        <v>0.97</v>
      </c>
      <c r="Z76" s="138" t="s">
        <v>269</v>
      </c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</row>
    <row r="77" spans="1:47" x14ac:dyDescent="0.2">
      <c r="B77" s="78" t="s">
        <v>62</v>
      </c>
      <c r="C77" s="1"/>
      <c r="D77" s="78" t="s">
        <v>270</v>
      </c>
      <c r="E77" s="78" t="s">
        <v>46</v>
      </c>
      <c r="F77" s="78" t="s">
        <v>67</v>
      </c>
      <c r="G77" s="78" t="s">
        <v>38</v>
      </c>
      <c r="L77" s="19">
        <f>37/3.24</f>
        <v>11.419753086419753</v>
      </c>
      <c r="M77" s="46">
        <v>167</v>
      </c>
      <c r="N77" s="45">
        <v>45741</v>
      </c>
      <c r="O77" s="3">
        <v>1.44</v>
      </c>
      <c r="P77" s="3">
        <v>2.68</v>
      </c>
      <c r="Q77" s="3">
        <v>1.48</v>
      </c>
      <c r="R77" s="3">
        <v>-1.65</v>
      </c>
      <c r="S77" s="3">
        <v>2.68</v>
      </c>
      <c r="T77" s="3">
        <v>1.29</v>
      </c>
      <c r="U77" s="3">
        <v>4.1500000000000004</v>
      </c>
      <c r="V77" s="3">
        <v>2.4</v>
      </c>
      <c r="W77" s="3">
        <v>-2.67</v>
      </c>
      <c r="X77" s="3">
        <v>1.02</v>
      </c>
      <c r="Y77" s="3">
        <v>0.74</v>
      </c>
      <c r="Z77" s="182" t="s">
        <v>271</v>
      </c>
    </row>
    <row r="78" spans="1:47" x14ac:dyDescent="0.2">
      <c r="B78" s="78" t="s">
        <v>62</v>
      </c>
      <c r="C78" s="1"/>
      <c r="D78" s="78" t="s">
        <v>272</v>
      </c>
      <c r="E78" s="78" t="s">
        <v>43</v>
      </c>
      <c r="F78" s="78" t="s">
        <v>67</v>
      </c>
      <c r="G78" s="78" t="s">
        <v>201</v>
      </c>
      <c r="L78" s="19">
        <f>40.43/7.07</f>
        <v>5.718528995756718</v>
      </c>
      <c r="M78" s="46">
        <v>99</v>
      </c>
      <c r="N78" s="45">
        <v>45802</v>
      </c>
      <c r="O78" s="3">
        <v>2.15</v>
      </c>
      <c r="P78" s="3">
        <v>-1.23</v>
      </c>
      <c r="Q78" s="3">
        <v>1.23</v>
      </c>
      <c r="R78" s="3">
        <v>-0.69</v>
      </c>
      <c r="S78" s="3">
        <v>2.2400000000000002</v>
      </c>
      <c r="T78" s="3">
        <v>-1.4</v>
      </c>
      <c r="U78" s="3">
        <v>1.71</v>
      </c>
      <c r="V78" s="3">
        <v>-7.0000000000000007E-2</v>
      </c>
      <c r="W78" s="3">
        <v>-1.95</v>
      </c>
      <c r="X78" s="3">
        <v>4.3</v>
      </c>
      <c r="Y78" s="3">
        <v>-0.32</v>
      </c>
      <c r="Z78" s="182" t="s">
        <v>273</v>
      </c>
    </row>
    <row r="79" spans="1:47" x14ac:dyDescent="0.2">
      <c r="C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47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715" spans="3:3" x14ac:dyDescent="0.2">
      <c r="C715" s="1"/>
    </row>
    <row r="716" spans="3:3" x14ac:dyDescent="0.2">
      <c r="C716" s="1"/>
    </row>
    <row r="717" spans="3:3" x14ac:dyDescent="0.2">
      <c r="C717" s="1"/>
    </row>
    <row r="718" spans="3:3" x14ac:dyDescent="0.2">
      <c r="C718" s="1"/>
    </row>
    <row r="719" spans="3:3" x14ac:dyDescent="0.2">
      <c r="C719" s="1"/>
    </row>
    <row r="720" spans="3:3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  <row r="924" spans="3:3" x14ac:dyDescent="0.2">
      <c r="C924" s="1"/>
    </row>
    <row r="925" spans="3:3" x14ac:dyDescent="0.2">
      <c r="C925" s="1"/>
    </row>
    <row r="926" spans="3:3" x14ac:dyDescent="0.2">
      <c r="C926" s="1"/>
    </row>
    <row r="927" spans="3:3" x14ac:dyDescent="0.2">
      <c r="C927" s="1"/>
    </row>
    <row r="928" spans="3:3" x14ac:dyDescent="0.2">
      <c r="C928" s="1"/>
    </row>
    <row r="929" spans="3:3" x14ac:dyDescent="0.2">
      <c r="C929" s="1"/>
    </row>
    <row r="930" spans="3:3" x14ac:dyDescent="0.2">
      <c r="C930" s="1"/>
    </row>
    <row r="931" spans="3:3" x14ac:dyDescent="0.2">
      <c r="C931" s="1"/>
    </row>
    <row r="932" spans="3:3" x14ac:dyDescent="0.2">
      <c r="C932" s="1"/>
    </row>
    <row r="933" spans="3:3" x14ac:dyDescent="0.2">
      <c r="C933" s="1"/>
    </row>
    <row r="934" spans="3:3" x14ac:dyDescent="0.2">
      <c r="C934" s="1"/>
    </row>
    <row r="935" spans="3:3" x14ac:dyDescent="0.2">
      <c r="C935" s="1"/>
    </row>
    <row r="936" spans="3:3" x14ac:dyDescent="0.2">
      <c r="C936" s="1"/>
    </row>
    <row r="937" spans="3:3" x14ac:dyDescent="0.2">
      <c r="C937" s="1"/>
    </row>
    <row r="938" spans="3:3" x14ac:dyDescent="0.2">
      <c r="C938" s="1"/>
    </row>
    <row r="939" spans="3:3" x14ac:dyDescent="0.2">
      <c r="C939" s="1"/>
    </row>
    <row r="940" spans="3:3" x14ac:dyDescent="0.2">
      <c r="C940" s="1"/>
    </row>
    <row r="941" spans="3:3" x14ac:dyDescent="0.2">
      <c r="C941" s="1"/>
    </row>
    <row r="942" spans="3:3" x14ac:dyDescent="0.2">
      <c r="C942" s="1"/>
    </row>
    <row r="943" spans="3:3" x14ac:dyDescent="0.2">
      <c r="C943" s="1"/>
    </row>
    <row r="944" spans="3:3" x14ac:dyDescent="0.2">
      <c r="C944" s="1"/>
    </row>
    <row r="945" spans="3:3" x14ac:dyDescent="0.2">
      <c r="C945" s="1"/>
    </row>
    <row r="946" spans="3:3" x14ac:dyDescent="0.2">
      <c r="C946" s="1"/>
    </row>
    <row r="947" spans="3:3" x14ac:dyDescent="0.2">
      <c r="C947" s="1"/>
    </row>
    <row r="948" spans="3:3" x14ac:dyDescent="0.2">
      <c r="C948" s="1"/>
    </row>
    <row r="949" spans="3:3" x14ac:dyDescent="0.2">
      <c r="C949" s="1"/>
    </row>
    <row r="950" spans="3:3" x14ac:dyDescent="0.2">
      <c r="C950" s="1"/>
    </row>
    <row r="951" spans="3:3" x14ac:dyDescent="0.2">
      <c r="C951" s="1"/>
    </row>
    <row r="952" spans="3:3" x14ac:dyDescent="0.2">
      <c r="C952" s="1"/>
    </row>
    <row r="953" spans="3:3" x14ac:dyDescent="0.2">
      <c r="C953" s="1"/>
    </row>
    <row r="954" spans="3:3" x14ac:dyDescent="0.2">
      <c r="C954" s="1"/>
    </row>
    <row r="955" spans="3:3" x14ac:dyDescent="0.2">
      <c r="C955" s="1"/>
    </row>
    <row r="956" spans="3:3" x14ac:dyDescent="0.2">
      <c r="C956" s="1"/>
    </row>
    <row r="957" spans="3:3" x14ac:dyDescent="0.2">
      <c r="C957" s="1"/>
    </row>
    <row r="958" spans="3:3" x14ac:dyDescent="0.2">
      <c r="C958" s="1"/>
    </row>
    <row r="959" spans="3:3" x14ac:dyDescent="0.2">
      <c r="C959" s="1"/>
    </row>
    <row r="960" spans="3:3" x14ac:dyDescent="0.2">
      <c r="C960" s="1"/>
    </row>
    <row r="961" spans="3:3" x14ac:dyDescent="0.2">
      <c r="C961" s="1"/>
    </row>
    <row r="962" spans="3:3" x14ac:dyDescent="0.2">
      <c r="C962" s="1"/>
    </row>
    <row r="963" spans="3:3" x14ac:dyDescent="0.2">
      <c r="C963" s="1"/>
    </row>
    <row r="964" spans="3:3" x14ac:dyDescent="0.2">
      <c r="C964" s="1"/>
    </row>
    <row r="965" spans="3:3" x14ac:dyDescent="0.2">
      <c r="C965" s="1"/>
    </row>
    <row r="966" spans="3:3" x14ac:dyDescent="0.2">
      <c r="C966" s="1"/>
    </row>
    <row r="967" spans="3:3" x14ac:dyDescent="0.2">
      <c r="C967" s="1"/>
    </row>
    <row r="968" spans="3:3" x14ac:dyDescent="0.2">
      <c r="C968" s="1"/>
    </row>
    <row r="969" spans="3:3" x14ac:dyDescent="0.2">
      <c r="C969" s="1"/>
    </row>
    <row r="970" spans="3:3" x14ac:dyDescent="0.2">
      <c r="C970" s="1"/>
    </row>
    <row r="971" spans="3:3" x14ac:dyDescent="0.2">
      <c r="C971" s="1"/>
    </row>
    <row r="972" spans="3:3" x14ac:dyDescent="0.2">
      <c r="C972" s="1"/>
    </row>
    <row r="973" spans="3:3" x14ac:dyDescent="0.2">
      <c r="C973" s="1"/>
    </row>
    <row r="974" spans="3:3" x14ac:dyDescent="0.2">
      <c r="C974" s="1"/>
    </row>
    <row r="975" spans="3:3" x14ac:dyDescent="0.2">
      <c r="C975" s="1"/>
    </row>
    <row r="976" spans="3:3" x14ac:dyDescent="0.2">
      <c r="C976" s="1"/>
    </row>
    <row r="977" spans="3:3" x14ac:dyDescent="0.2">
      <c r="C977" s="1"/>
    </row>
    <row r="978" spans="3:3" x14ac:dyDescent="0.2">
      <c r="C978" s="1"/>
    </row>
    <row r="979" spans="3:3" x14ac:dyDescent="0.2">
      <c r="C979" s="1"/>
    </row>
    <row r="980" spans="3:3" x14ac:dyDescent="0.2">
      <c r="C980" s="1"/>
    </row>
    <row r="981" spans="3:3" x14ac:dyDescent="0.2">
      <c r="C981" s="1"/>
    </row>
    <row r="982" spans="3:3" x14ac:dyDescent="0.2">
      <c r="C982" s="1"/>
    </row>
    <row r="983" spans="3:3" x14ac:dyDescent="0.2">
      <c r="C983" s="1"/>
    </row>
    <row r="984" spans="3:3" x14ac:dyDescent="0.2">
      <c r="C984" s="1"/>
    </row>
    <row r="985" spans="3:3" x14ac:dyDescent="0.2">
      <c r="C985" s="1"/>
    </row>
    <row r="986" spans="3:3" x14ac:dyDescent="0.2">
      <c r="C986" s="1"/>
    </row>
    <row r="987" spans="3:3" x14ac:dyDescent="0.2">
      <c r="C987" s="1"/>
    </row>
    <row r="988" spans="3:3" x14ac:dyDescent="0.2">
      <c r="C988" s="1"/>
    </row>
    <row r="989" spans="3:3" x14ac:dyDescent="0.2">
      <c r="C989" s="1"/>
    </row>
    <row r="990" spans="3:3" x14ac:dyDescent="0.2">
      <c r="C990" s="1"/>
    </row>
    <row r="991" spans="3:3" x14ac:dyDescent="0.2">
      <c r="C991" s="1"/>
    </row>
    <row r="992" spans="3:3" x14ac:dyDescent="0.2">
      <c r="C992" s="1"/>
    </row>
    <row r="993" spans="3:3" x14ac:dyDescent="0.2">
      <c r="C993" s="1"/>
    </row>
    <row r="994" spans="3:3" x14ac:dyDescent="0.2">
      <c r="C994" s="1"/>
    </row>
    <row r="995" spans="3:3" x14ac:dyDescent="0.2">
      <c r="C995" s="1"/>
    </row>
    <row r="996" spans="3:3" x14ac:dyDescent="0.2">
      <c r="C996" s="1"/>
    </row>
    <row r="997" spans="3:3" x14ac:dyDescent="0.2">
      <c r="C997" s="1"/>
    </row>
    <row r="998" spans="3:3" x14ac:dyDescent="0.2">
      <c r="C998" s="1"/>
    </row>
  </sheetData>
  <autoFilter ref="B2:AU998" xr:uid="{00000000-0009-0000-0000-000001000000}"/>
  <phoneticPr fontId="38" type="noConversion"/>
  <conditionalFormatting sqref="H24:L24 L26:L28 L30:L32 H31:K32 H36:L38 H42:L48 H51:L61 H62:K63 L62:L72 L75:L78">
    <cfRule type="cellIs" dxfId="3" priority="3" operator="greaterThan">
      <formula>10</formula>
    </cfRule>
  </conditionalFormatting>
  <conditionalFormatting sqref="L3:L20 H5:K5 H8:K10 H14:K14 H16:K17 L23 H73:L74">
    <cfRule type="cellIs" dxfId="2" priority="6" operator="greaterThan">
      <formula>10</formula>
    </cfRule>
  </conditionalFormatting>
  <conditionalFormatting sqref="M3:M20 M23:M24">
    <cfRule type="cellIs" dxfId="1" priority="4" operator="greaterThan">
      <formula>250</formula>
    </cfRule>
  </conditionalFormatting>
  <conditionalFormatting sqref="M26:M32 M35:M38 M42:M78">
    <cfRule type="cellIs" dxfId="0" priority="1" operator="greaterThan">
      <formula>250</formula>
    </cfRule>
  </conditionalFormatting>
  <hyperlinks>
    <hyperlink ref="Z3" r:id="rId1" xr:uid="{00000000-0004-0000-0100-000000000000}"/>
    <hyperlink ref="Z4" r:id="rId2" xr:uid="{00000000-0004-0000-0100-000001000000}"/>
    <hyperlink ref="Z5" r:id="rId3" xr:uid="{00000000-0004-0000-0100-000002000000}"/>
    <hyperlink ref="Z6" r:id="rId4" xr:uid="{00000000-0004-0000-0100-000003000000}"/>
    <hyperlink ref="Z7" r:id="rId5" xr:uid="{00000000-0004-0000-0100-000004000000}"/>
    <hyperlink ref="Z8" r:id="rId6" xr:uid="{00000000-0004-0000-0100-000005000000}"/>
    <hyperlink ref="Z9" r:id="rId7" xr:uid="{00000000-0004-0000-0100-000006000000}"/>
    <hyperlink ref="Z10" r:id="rId8" xr:uid="{00000000-0004-0000-0100-000007000000}"/>
    <hyperlink ref="Z11" r:id="rId9" xr:uid="{00000000-0004-0000-0100-000008000000}"/>
    <hyperlink ref="Z12" r:id="rId10" xr:uid="{00000000-0004-0000-0100-000009000000}"/>
    <hyperlink ref="Z13" r:id="rId11" xr:uid="{00000000-0004-0000-0100-00000A000000}"/>
    <hyperlink ref="Z14" r:id="rId12" xr:uid="{00000000-0004-0000-0100-00000B000000}"/>
    <hyperlink ref="Z15" r:id="rId13" xr:uid="{00000000-0004-0000-0100-00000C000000}"/>
    <hyperlink ref="Z16" r:id="rId14" xr:uid="{00000000-0004-0000-0100-00000D000000}"/>
    <hyperlink ref="Z17" r:id="rId15" xr:uid="{00000000-0004-0000-0100-00000E000000}"/>
    <hyperlink ref="Z18" r:id="rId16" xr:uid="{00000000-0004-0000-0100-00000F000000}"/>
    <hyperlink ref="Z19" r:id="rId17" xr:uid="{00000000-0004-0000-0100-000010000000}"/>
    <hyperlink ref="Z20" r:id="rId18" xr:uid="{00000000-0004-0000-0100-000011000000}"/>
    <hyperlink ref="Z23" r:id="rId19" xr:uid="{00000000-0004-0000-0100-000012000000}"/>
    <hyperlink ref="Z24" r:id="rId20" xr:uid="{00000000-0004-0000-0100-000013000000}"/>
    <hyperlink ref="Z25" r:id="rId21" xr:uid="{00000000-0004-0000-0100-000014000000}"/>
    <hyperlink ref="Z26" r:id="rId22" xr:uid="{00000000-0004-0000-0100-000015000000}"/>
    <hyperlink ref="Z27" r:id="rId23" xr:uid="{00000000-0004-0000-0100-000016000000}"/>
    <hyperlink ref="Z28" r:id="rId24" xr:uid="{00000000-0004-0000-0100-000017000000}"/>
    <hyperlink ref="Z29" r:id="rId25" xr:uid="{00000000-0004-0000-0100-000018000000}"/>
    <hyperlink ref="Z30" r:id="rId26" xr:uid="{00000000-0004-0000-0100-000019000000}"/>
    <hyperlink ref="Z31" r:id="rId27" xr:uid="{00000000-0004-0000-0100-00001A000000}"/>
    <hyperlink ref="Z32" r:id="rId28" xr:uid="{00000000-0004-0000-0100-00001B000000}"/>
    <hyperlink ref="Z33" r:id="rId29" xr:uid="{00000000-0004-0000-0100-00001C000000}"/>
    <hyperlink ref="Z34" r:id="rId30" xr:uid="{00000000-0004-0000-0100-00001D000000}"/>
    <hyperlink ref="Z35" r:id="rId31" xr:uid="{00000000-0004-0000-0100-00001E000000}"/>
    <hyperlink ref="Z36" r:id="rId32" xr:uid="{00000000-0004-0000-0100-00001F000000}"/>
    <hyperlink ref="Z37" r:id="rId33" xr:uid="{00000000-0004-0000-0100-000020000000}"/>
    <hyperlink ref="Z38" r:id="rId34" xr:uid="{00000000-0004-0000-0100-000021000000}"/>
    <hyperlink ref="Z43" r:id="rId35" xr:uid="{00000000-0004-0000-0100-000022000000}"/>
    <hyperlink ref="Z46" r:id="rId36" xr:uid="{00000000-0004-0000-0100-000023000000}"/>
    <hyperlink ref="Z48" r:id="rId37" xr:uid="{00000000-0004-0000-0100-000024000000}"/>
    <hyperlink ref="Z51" r:id="rId38" xr:uid="{00000000-0004-0000-0100-000025000000}"/>
    <hyperlink ref="Z52" r:id="rId39" xr:uid="{00000000-0004-0000-0100-000026000000}"/>
    <hyperlink ref="Z59" r:id="rId40" xr:uid="{00000000-0004-0000-0100-000027000000}"/>
    <hyperlink ref="Z64" r:id="rId41" xr:uid="{00000000-0004-0000-0100-000028000000}"/>
    <hyperlink ref="Z65" r:id="rId42" xr:uid="{00000000-0004-0000-0100-000029000000}"/>
    <hyperlink ref="Z66" r:id="rId43" xr:uid="{00000000-0004-0000-0100-00002A000000}"/>
    <hyperlink ref="Z67" r:id="rId44" xr:uid="{00000000-0004-0000-0100-00002B000000}"/>
    <hyperlink ref="Z68" r:id="rId45" xr:uid="{00000000-0004-0000-0100-00002C000000}"/>
    <hyperlink ref="Z69" r:id="rId46" xr:uid="{00000000-0004-0000-0100-00002D000000}"/>
    <hyperlink ref="Z70" r:id="rId47" xr:uid="{00000000-0004-0000-0100-00002E000000}"/>
    <hyperlink ref="Z71" r:id="rId48" xr:uid="{00000000-0004-0000-0100-00002F000000}"/>
    <hyperlink ref="Z72" r:id="rId49" xr:uid="{00000000-0004-0000-0100-000030000000}"/>
    <hyperlink ref="Z73" r:id="rId50" xr:uid="{00000000-0004-0000-0100-000031000000}"/>
    <hyperlink ref="Z74" r:id="rId51" xr:uid="{00000000-0004-0000-0100-000032000000}"/>
    <hyperlink ref="Z75" r:id="rId52" xr:uid="{00000000-0004-0000-0100-000033000000}"/>
    <hyperlink ref="Z76" r:id="rId53" xr:uid="{00000000-0004-0000-0100-000034000000}"/>
    <hyperlink ref="Z77" r:id="rId54" xr:uid="{00000000-0004-0000-0100-000035000000}"/>
    <hyperlink ref="Z78" r:id="rId55" xr:uid="{00000000-0004-0000-01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Portfolios</vt:lpstr>
      <vt:lpstr>Strategy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Sun</dc:creator>
  <cp:lastModifiedBy>centurygame</cp:lastModifiedBy>
  <dcterms:created xsi:type="dcterms:W3CDTF">2025-02-04T06:02:53Z</dcterms:created>
  <dcterms:modified xsi:type="dcterms:W3CDTF">2025-12-01T12:44:10Z</dcterms:modified>
</cp:coreProperties>
</file>